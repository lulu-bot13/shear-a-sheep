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A7C18AC-4E35-4D09-94E9-D57AFF977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Shears" sheetId="2" r:id="rId2"/>
    <sheet name="Sheep" sheetId="3" r:id="rId3"/>
    <sheet name="Rarities" sheetId="4" r:id="rId4"/>
    <sheet name="Wool per Minute" sheetId="5" r:id="rId5"/>
    <sheet name="Rebirths" sheetId="6" r:id="rId6"/>
    <sheet name="Rebirth Odd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7" l="1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D31" i="6"/>
  <c r="C31" i="6"/>
  <c r="B31" i="6"/>
  <c r="N31" i="6" s="1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F10" i="4"/>
  <c r="C10" i="4"/>
  <c r="F9" i="4"/>
  <c r="C9" i="4"/>
  <c r="F8" i="4"/>
  <c r="G8" i="4" s="1"/>
  <c r="C8" i="4"/>
  <c r="F7" i="4"/>
  <c r="C7" i="4"/>
  <c r="F6" i="4"/>
  <c r="G6" i="4" s="1"/>
  <c r="C6" i="4"/>
  <c r="F5" i="4"/>
  <c r="G5" i="4" s="1"/>
  <c r="C5" i="4"/>
  <c r="H24" i="3"/>
  <c r="K23" i="3"/>
  <c r="J23" i="3"/>
  <c r="I23" i="3"/>
  <c r="D23" i="3"/>
  <c r="K22" i="3"/>
  <c r="J22" i="3"/>
  <c r="I22" i="3"/>
  <c r="D22" i="3"/>
  <c r="K21" i="3"/>
  <c r="J21" i="3"/>
  <c r="I21" i="3"/>
  <c r="D21" i="3"/>
  <c r="K20" i="3"/>
  <c r="J20" i="3"/>
  <c r="I20" i="3"/>
  <c r="D20" i="3"/>
  <c r="K19" i="3"/>
  <c r="J19" i="3"/>
  <c r="I19" i="3"/>
  <c r="D19" i="3"/>
  <c r="K18" i="3"/>
  <c r="J18" i="3"/>
  <c r="I18" i="3"/>
  <c r="D18" i="3"/>
  <c r="K17" i="3"/>
  <c r="J17" i="3"/>
  <c r="I17" i="3"/>
  <c r="D17" i="3"/>
  <c r="K16" i="3"/>
  <c r="J16" i="3"/>
  <c r="I16" i="3"/>
  <c r="D16" i="3"/>
  <c r="K15" i="3"/>
  <c r="J15" i="3"/>
  <c r="I15" i="3"/>
  <c r="D15" i="3"/>
  <c r="K14" i="3"/>
  <c r="J14" i="3"/>
  <c r="I14" i="3"/>
  <c r="D14" i="3"/>
  <c r="K13" i="3"/>
  <c r="J13" i="3"/>
  <c r="I13" i="3"/>
  <c r="D13" i="3"/>
  <c r="K12" i="3"/>
  <c r="J12" i="3"/>
  <c r="I12" i="3"/>
  <c r="D12" i="3"/>
  <c r="K11" i="3"/>
  <c r="J11" i="3"/>
  <c r="I11" i="3"/>
  <c r="D11" i="3"/>
  <c r="K10" i="3"/>
  <c r="J10" i="3"/>
  <c r="I10" i="3"/>
  <c r="D10" i="3"/>
  <c r="K9" i="3"/>
  <c r="J9" i="3"/>
  <c r="I9" i="3"/>
  <c r="D9" i="3"/>
  <c r="K8" i="3"/>
  <c r="J8" i="3"/>
  <c r="I8" i="3"/>
  <c r="D8" i="3"/>
  <c r="K7" i="3"/>
  <c r="J7" i="3"/>
  <c r="I7" i="3"/>
  <c r="D7" i="3"/>
  <c r="K6" i="3"/>
  <c r="J6" i="3"/>
  <c r="I6" i="3"/>
  <c r="D6" i="3"/>
  <c r="K5" i="3"/>
  <c r="J5" i="3"/>
  <c r="I5" i="3"/>
  <c r="D5" i="3"/>
  <c r="G9" i="2"/>
  <c r="F9" i="2"/>
  <c r="G8" i="2"/>
  <c r="F8" i="2"/>
  <c r="G7" i="2"/>
  <c r="F7" i="2"/>
  <c r="G6" i="2"/>
  <c r="F6" i="2"/>
  <c r="G5" i="2"/>
  <c r="F5" i="2"/>
  <c r="B24" i="1"/>
  <c r="B23" i="1"/>
  <c r="G7" i="4" l="1"/>
  <c r="G10" i="4"/>
  <c r="G9" i="4"/>
  <c r="J24" i="3"/>
  <c r="O31" i="6"/>
  <c r="P31" i="6"/>
  <c r="E27" i="6"/>
  <c r="E21" i="6"/>
  <c r="E29" i="6"/>
  <c r="E28" i="6"/>
  <c r="E31" i="6"/>
  <c r="E26" i="6"/>
  <c r="E19" i="6"/>
  <c r="E17" i="6"/>
  <c r="E14" i="6"/>
  <c r="E25" i="6"/>
  <c r="E16" i="6"/>
  <c r="E15" i="6"/>
  <c r="E24" i="6"/>
  <c r="E22" i="6"/>
  <c r="E18" i="6"/>
  <c r="E23" i="6"/>
  <c r="E13" i="6"/>
  <c r="E9" i="6"/>
  <c r="E20" i="6"/>
  <c r="E8" i="6"/>
  <c r="E12" i="6"/>
  <c r="E7" i="6"/>
  <c r="E11" i="6"/>
  <c r="E6" i="6"/>
  <c r="E30" i="6"/>
  <c r="E10" i="6"/>
  <c r="E10" i="4"/>
  <c r="H10" i="4" s="1"/>
  <c r="D10" i="4"/>
  <c r="I10" i="4" s="1"/>
  <c r="E9" i="4"/>
  <c r="H9" i="4" s="1"/>
  <c r="D9" i="4"/>
  <c r="I9" i="4" s="1"/>
  <c r="D8" i="4"/>
  <c r="I8" i="4" s="1"/>
  <c r="E8" i="4"/>
  <c r="H8" i="4" s="1"/>
  <c r="E7" i="4"/>
  <c r="H7" i="4" s="1"/>
  <c r="D7" i="4"/>
  <c r="I7" i="4" s="1"/>
  <c r="D6" i="4"/>
  <c r="I6" i="4" s="1"/>
  <c r="E6" i="4"/>
  <c r="H6" i="4" s="1"/>
  <c r="E5" i="4"/>
  <c r="H5" i="4" s="1"/>
  <c r="D5" i="4"/>
  <c r="I5" i="4" s="1"/>
  <c r="I9" i="2"/>
  <c r="F52" i="5"/>
  <c r="F51" i="5"/>
  <c r="F41" i="5"/>
  <c r="F37" i="5"/>
  <c r="F39" i="5"/>
  <c r="J9" i="2"/>
  <c r="F45" i="5"/>
  <c r="F43" i="5"/>
  <c r="F44" i="5"/>
  <c r="F49" i="5"/>
  <c r="F35" i="5"/>
  <c r="F36" i="5"/>
  <c r="F53" i="5"/>
  <c r="H9" i="2"/>
  <c r="F38" i="5"/>
  <c r="F47" i="5"/>
  <c r="F40" i="5"/>
  <c r="F46" i="5"/>
  <c r="F50" i="5"/>
  <c r="F48" i="5"/>
  <c r="F42" i="5"/>
  <c r="E41" i="5"/>
  <c r="J8" i="2"/>
  <c r="E46" i="5"/>
  <c r="E44" i="5"/>
  <c r="E52" i="5"/>
  <c r="E53" i="5"/>
  <c r="I8" i="2"/>
  <c r="E50" i="5"/>
  <c r="E51" i="5"/>
  <c r="E42" i="5"/>
  <c r="E35" i="5"/>
  <c r="E37" i="5"/>
  <c r="E45" i="5"/>
  <c r="E43" i="5"/>
  <c r="E48" i="5"/>
  <c r="E47" i="5"/>
  <c r="H8" i="2"/>
  <c r="E38" i="5"/>
  <c r="E49" i="5"/>
  <c r="E36" i="5"/>
  <c r="E39" i="5"/>
  <c r="E40" i="5"/>
  <c r="D41" i="5"/>
  <c r="D48" i="5"/>
  <c r="D40" i="5"/>
  <c r="D39" i="5"/>
  <c r="D38" i="5"/>
  <c r="D37" i="5"/>
  <c r="D36" i="5"/>
  <c r="D45" i="5"/>
  <c r="D35" i="5"/>
  <c r="D52" i="5"/>
  <c r="I7" i="2"/>
  <c r="D49" i="5"/>
  <c r="J7" i="2"/>
  <c r="D53" i="5"/>
  <c r="D51" i="5"/>
  <c r="D50" i="5"/>
  <c r="D46" i="5"/>
  <c r="D47" i="5"/>
  <c r="H7" i="2"/>
  <c r="D44" i="5"/>
  <c r="D43" i="5"/>
  <c r="D42" i="5"/>
  <c r="C41" i="5"/>
  <c r="C47" i="5"/>
  <c r="C53" i="5"/>
  <c r="C36" i="5"/>
  <c r="C46" i="5"/>
  <c r="C49" i="5"/>
  <c r="C40" i="5"/>
  <c r="C50" i="5"/>
  <c r="C35" i="5"/>
  <c r="C39" i="5"/>
  <c r="C42" i="5"/>
  <c r="C48" i="5"/>
  <c r="C38" i="5"/>
  <c r="C51" i="5"/>
  <c r="H6" i="2"/>
  <c r="C43" i="5"/>
  <c r="J6" i="2"/>
  <c r="C37" i="5"/>
  <c r="I6" i="2"/>
  <c r="C45" i="5"/>
  <c r="C44" i="5"/>
  <c r="C52" i="5"/>
  <c r="B52" i="5"/>
  <c r="B50" i="5"/>
  <c r="B53" i="5"/>
  <c r="B46" i="5"/>
  <c r="B42" i="5"/>
  <c r="B40" i="5"/>
  <c r="B38" i="5"/>
  <c r="B43" i="5"/>
  <c r="B41" i="5"/>
  <c r="B37" i="5"/>
  <c r="B44" i="5"/>
  <c r="B49" i="5"/>
  <c r="B39" i="5"/>
  <c r="B35" i="5"/>
  <c r="J5" i="2"/>
  <c r="I5" i="2"/>
  <c r="H5" i="2"/>
  <c r="B48" i="5"/>
  <c r="B36" i="5"/>
  <c r="B51" i="5"/>
  <c r="B47" i="5"/>
  <c r="B45" i="5"/>
  <c r="X6" i="7" l="1"/>
  <c r="F27" i="6"/>
  <c r="X7" i="7" s="1"/>
  <c r="R6" i="7"/>
  <c r="F21" i="6"/>
  <c r="R7" i="7" s="1"/>
  <c r="F29" i="6"/>
  <c r="Z7" i="7" s="1"/>
  <c r="Z6" i="7"/>
  <c r="F28" i="6"/>
  <c r="Y7" i="7" s="1"/>
  <c r="Y6" i="7"/>
  <c r="F31" i="6"/>
  <c r="AB7" i="7" s="1"/>
  <c r="AB6" i="7"/>
  <c r="F26" i="6"/>
  <c r="W7" i="7" s="1"/>
  <c r="W6" i="7"/>
  <c r="F19" i="6"/>
  <c r="P7" i="7" s="1"/>
  <c r="P6" i="7"/>
  <c r="F17" i="6"/>
  <c r="N7" i="7" s="1"/>
  <c r="N6" i="7"/>
  <c r="F14" i="6"/>
  <c r="K7" i="7" s="1"/>
  <c r="K6" i="7"/>
  <c r="V6" i="7"/>
  <c r="F25" i="6"/>
  <c r="V7" i="7" s="1"/>
  <c r="M6" i="7"/>
  <c r="F16" i="6"/>
  <c r="M7" i="7" s="1"/>
  <c r="L6" i="7"/>
  <c r="F15" i="6"/>
  <c r="L7" i="7" s="1"/>
  <c r="F24" i="6"/>
  <c r="U7" i="7" s="1"/>
  <c r="U6" i="7"/>
  <c r="F22" i="6"/>
  <c r="S7" i="7" s="1"/>
  <c r="S6" i="7"/>
  <c r="F18" i="6"/>
  <c r="O7" i="7" s="1"/>
  <c r="O6" i="7"/>
  <c r="F23" i="6"/>
  <c r="T7" i="7" s="1"/>
  <c r="T6" i="7"/>
  <c r="F13" i="6"/>
  <c r="J7" i="7" s="1"/>
  <c r="J6" i="7"/>
  <c r="F6" i="7"/>
  <c r="F9" i="6"/>
  <c r="F7" i="7" s="1"/>
  <c r="F20" i="6"/>
  <c r="Q7" i="7" s="1"/>
  <c r="Q6" i="7"/>
  <c r="F8" i="6"/>
  <c r="E7" i="7" s="1"/>
  <c r="E6" i="7"/>
  <c r="I6" i="7"/>
  <c r="F12" i="6"/>
  <c r="I7" i="7" s="1"/>
  <c r="F7" i="6"/>
  <c r="D7" i="7" s="1"/>
  <c r="D6" i="7"/>
  <c r="F11" i="6"/>
  <c r="H7" i="7" s="1"/>
  <c r="H6" i="7"/>
  <c r="F6" i="6"/>
  <c r="C7" i="7" s="1"/>
  <c r="C6" i="7"/>
  <c r="F30" i="6"/>
  <c r="AA7" i="7" s="1"/>
  <c r="AA6" i="7"/>
  <c r="F10" i="6"/>
  <c r="G7" i="7" s="1"/>
  <c r="G6" i="7"/>
  <c r="X9" i="7" l="1"/>
  <c r="X10" i="7"/>
  <c r="X13" i="7"/>
  <c r="X14" i="7"/>
  <c r="X11" i="7"/>
  <c r="X12" i="7"/>
  <c r="X16" i="7"/>
  <c r="X17" i="7"/>
  <c r="X18" i="7"/>
  <c r="X19" i="7"/>
  <c r="X15" i="7"/>
  <c r="X21" i="7"/>
  <c r="X23" i="7"/>
  <c r="X20" i="7"/>
  <c r="X22" i="7"/>
  <c r="X24" i="7"/>
  <c r="X25" i="7"/>
  <c r="X26" i="7"/>
  <c r="X27" i="7"/>
  <c r="R9" i="7"/>
  <c r="R10" i="7"/>
  <c r="R11" i="7"/>
  <c r="R14" i="7"/>
  <c r="R15" i="7"/>
  <c r="R12" i="7"/>
  <c r="R13" i="7"/>
  <c r="R18" i="7"/>
  <c r="R19" i="7"/>
  <c r="R17" i="7"/>
  <c r="R21" i="7"/>
  <c r="R22" i="7"/>
  <c r="R23" i="7"/>
  <c r="R16" i="7"/>
  <c r="R20" i="7"/>
  <c r="R24" i="7"/>
  <c r="R25" i="7"/>
  <c r="R26" i="7"/>
  <c r="R27" i="7"/>
  <c r="Z9" i="7"/>
  <c r="Z10" i="7"/>
  <c r="Z12" i="7"/>
  <c r="Z13" i="7"/>
  <c r="Z14" i="7"/>
  <c r="Z18" i="7"/>
  <c r="Z11" i="7"/>
  <c r="Z15" i="7"/>
  <c r="Z17" i="7"/>
  <c r="Z21" i="7"/>
  <c r="Z23" i="7"/>
  <c r="Z16" i="7"/>
  <c r="Z19" i="7"/>
  <c r="Z20" i="7"/>
  <c r="Z22" i="7"/>
  <c r="Z24" i="7"/>
  <c r="Z25" i="7"/>
  <c r="Z26" i="7"/>
  <c r="Z27" i="7"/>
  <c r="Y9" i="7"/>
  <c r="Y10" i="7"/>
  <c r="Y13" i="7"/>
  <c r="Y14" i="7"/>
  <c r="Y15" i="7"/>
  <c r="Y18" i="7"/>
  <c r="Y16" i="7"/>
  <c r="Y19" i="7"/>
  <c r="Y20" i="7"/>
  <c r="Y23" i="7"/>
  <c r="Y11" i="7"/>
  <c r="Y12" i="7"/>
  <c r="Y17" i="7"/>
  <c r="Y21" i="7"/>
  <c r="Y22" i="7"/>
  <c r="Y24" i="7"/>
  <c r="Y25" i="7"/>
  <c r="Y26" i="7"/>
  <c r="Y27" i="7"/>
  <c r="AB9" i="7"/>
  <c r="AB10" i="7"/>
  <c r="AB13" i="7"/>
  <c r="AB14" i="7"/>
  <c r="AB11" i="7"/>
  <c r="AB17" i="7"/>
  <c r="AB18" i="7"/>
  <c r="AB12" i="7"/>
  <c r="AB15" i="7"/>
  <c r="AB16" i="7"/>
  <c r="AB19" i="7"/>
  <c r="AB20" i="7"/>
  <c r="AB21" i="7"/>
  <c r="AB22" i="7"/>
  <c r="AB23" i="7"/>
  <c r="AB24" i="7"/>
  <c r="AB25" i="7"/>
  <c r="AB26" i="7"/>
  <c r="AB27" i="7"/>
  <c r="W9" i="7"/>
  <c r="W10" i="7"/>
  <c r="W14" i="7"/>
  <c r="W15" i="7"/>
  <c r="W18" i="7"/>
  <c r="W19" i="7"/>
  <c r="W11" i="7"/>
  <c r="W12" i="7"/>
  <c r="W13" i="7"/>
  <c r="W17" i="7"/>
  <c r="W20" i="7"/>
  <c r="W23" i="7"/>
  <c r="W16" i="7"/>
  <c r="W21" i="7"/>
  <c r="W22" i="7"/>
  <c r="W24" i="7"/>
  <c r="W25" i="7"/>
  <c r="W26" i="7"/>
  <c r="W27" i="7"/>
  <c r="P9" i="7"/>
  <c r="P10" i="7"/>
  <c r="P11" i="7"/>
  <c r="P13" i="7"/>
  <c r="P14" i="7"/>
  <c r="P15" i="7"/>
  <c r="P17" i="7"/>
  <c r="P18" i="7"/>
  <c r="P19" i="7"/>
  <c r="P16" i="7"/>
  <c r="P21" i="7"/>
  <c r="P22" i="7"/>
  <c r="P23" i="7"/>
  <c r="P12" i="7"/>
  <c r="P20" i="7"/>
  <c r="P24" i="7"/>
  <c r="P25" i="7"/>
  <c r="P26" i="7"/>
  <c r="P27" i="7"/>
  <c r="N9" i="7"/>
  <c r="N10" i="7"/>
  <c r="N11" i="7"/>
  <c r="N14" i="7"/>
  <c r="N15" i="7"/>
  <c r="N12" i="7"/>
  <c r="N13" i="7"/>
  <c r="N16" i="7"/>
  <c r="N18" i="7"/>
  <c r="N19" i="7"/>
  <c r="N21" i="7"/>
  <c r="N22" i="7"/>
  <c r="N23" i="7"/>
  <c r="N17" i="7"/>
  <c r="N20" i="7"/>
  <c r="N24" i="7"/>
  <c r="N25" i="7"/>
  <c r="N26" i="7"/>
  <c r="N27" i="7"/>
  <c r="K12" i="7"/>
  <c r="K17" i="7"/>
  <c r="K20" i="7"/>
  <c r="K23" i="7"/>
  <c r="K21" i="7"/>
  <c r="K22" i="7"/>
  <c r="K24" i="7"/>
  <c r="K25" i="7"/>
  <c r="K26" i="7"/>
  <c r="K27" i="7"/>
  <c r="K9" i="7"/>
  <c r="K10" i="7"/>
  <c r="K11" i="7"/>
  <c r="K13" i="7"/>
  <c r="K14" i="7"/>
  <c r="K15" i="7"/>
  <c r="K16" i="7"/>
  <c r="K18" i="7"/>
  <c r="K19" i="7"/>
  <c r="V9" i="7"/>
  <c r="V10" i="7"/>
  <c r="V11" i="7"/>
  <c r="V12" i="7"/>
  <c r="V14" i="7"/>
  <c r="V15" i="7"/>
  <c r="V13" i="7"/>
  <c r="V18" i="7"/>
  <c r="V19" i="7"/>
  <c r="V16" i="7"/>
  <c r="V21" i="7"/>
  <c r="V22" i="7"/>
  <c r="V23" i="7"/>
  <c r="V17" i="7"/>
  <c r="V20" i="7"/>
  <c r="V24" i="7"/>
  <c r="V25" i="7"/>
  <c r="V26" i="7"/>
  <c r="V27" i="7"/>
  <c r="M17" i="7"/>
  <c r="M18" i="7"/>
  <c r="M19" i="7"/>
  <c r="M16" i="7"/>
  <c r="M20" i="7"/>
  <c r="M23" i="7"/>
  <c r="M12" i="7"/>
  <c r="M21" i="7"/>
  <c r="M22" i="7"/>
  <c r="M24" i="7"/>
  <c r="M25" i="7"/>
  <c r="M26" i="7"/>
  <c r="M27" i="7"/>
  <c r="M9" i="7"/>
  <c r="M10" i="7"/>
  <c r="M11" i="7"/>
  <c r="M13" i="7"/>
  <c r="M14" i="7"/>
  <c r="M15" i="7"/>
  <c r="L16" i="7"/>
  <c r="L17" i="7"/>
  <c r="L20" i="7"/>
  <c r="L24" i="7"/>
  <c r="L25" i="7"/>
  <c r="L26" i="7"/>
  <c r="L27" i="7"/>
  <c r="L9" i="7"/>
  <c r="L10" i="7"/>
  <c r="L11" i="7"/>
  <c r="L12" i="7"/>
  <c r="L14" i="7"/>
  <c r="L15" i="7"/>
  <c r="L13" i="7"/>
  <c r="L18" i="7"/>
  <c r="L19" i="7"/>
  <c r="L21" i="7"/>
  <c r="L22" i="7"/>
  <c r="L23" i="7"/>
  <c r="U9" i="7"/>
  <c r="U10" i="7"/>
  <c r="U13" i="7"/>
  <c r="U14" i="7"/>
  <c r="U15" i="7"/>
  <c r="U12" i="7"/>
  <c r="U18" i="7"/>
  <c r="U19" i="7"/>
  <c r="U17" i="7"/>
  <c r="U20" i="7"/>
  <c r="U23" i="7"/>
  <c r="U11" i="7"/>
  <c r="U16" i="7"/>
  <c r="U21" i="7"/>
  <c r="U22" i="7"/>
  <c r="U24" i="7"/>
  <c r="U25" i="7"/>
  <c r="U26" i="7"/>
  <c r="U27" i="7"/>
  <c r="S9" i="7"/>
  <c r="S10" i="7"/>
  <c r="S11" i="7"/>
  <c r="S13" i="7"/>
  <c r="S14" i="7"/>
  <c r="S15" i="7"/>
  <c r="S18" i="7"/>
  <c r="S19" i="7"/>
  <c r="S12" i="7"/>
  <c r="S16" i="7"/>
  <c r="S20" i="7"/>
  <c r="S23" i="7"/>
  <c r="S17" i="7"/>
  <c r="S21" i="7"/>
  <c r="S22" i="7"/>
  <c r="S24" i="7"/>
  <c r="S25" i="7"/>
  <c r="S26" i="7"/>
  <c r="S27" i="7"/>
  <c r="O9" i="7"/>
  <c r="O10" i="7"/>
  <c r="O11" i="7"/>
  <c r="O14" i="7"/>
  <c r="O15" i="7"/>
  <c r="O13" i="7"/>
  <c r="O18" i="7"/>
  <c r="O19" i="7"/>
  <c r="O12" i="7"/>
  <c r="O17" i="7"/>
  <c r="O20" i="7"/>
  <c r="O23" i="7"/>
  <c r="O16" i="7"/>
  <c r="O21" i="7"/>
  <c r="O22" i="7"/>
  <c r="O24" i="7"/>
  <c r="O25" i="7"/>
  <c r="O26" i="7"/>
  <c r="O27" i="7"/>
  <c r="T9" i="7"/>
  <c r="T10" i="7"/>
  <c r="T11" i="7"/>
  <c r="T14" i="7"/>
  <c r="T15" i="7"/>
  <c r="T16" i="7"/>
  <c r="T17" i="7"/>
  <c r="T18" i="7"/>
  <c r="T19" i="7"/>
  <c r="T13" i="7"/>
  <c r="T21" i="7"/>
  <c r="T22" i="7"/>
  <c r="T23" i="7"/>
  <c r="T12" i="7"/>
  <c r="T20" i="7"/>
  <c r="T24" i="7"/>
  <c r="T25" i="7"/>
  <c r="T26" i="7"/>
  <c r="T27" i="7"/>
  <c r="J9" i="7"/>
  <c r="J10" i="7"/>
  <c r="J11" i="7"/>
  <c r="J13" i="7"/>
  <c r="J14" i="7"/>
  <c r="J15" i="7"/>
  <c r="J12" i="7"/>
  <c r="J17" i="7"/>
  <c r="J19" i="7"/>
  <c r="J21" i="7"/>
  <c r="J22" i="7"/>
  <c r="J23" i="7"/>
  <c r="J16" i="7"/>
  <c r="J18" i="7"/>
  <c r="J20" i="7"/>
  <c r="J24" i="7"/>
  <c r="J25" i="7"/>
  <c r="J26" i="7"/>
  <c r="J27" i="7"/>
  <c r="F14" i="7"/>
  <c r="F15" i="7"/>
  <c r="F13" i="7"/>
  <c r="F18" i="7"/>
  <c r="F19" i="7"/>
  <c r="F12" i="7"/>
  <c r="F21" i="7"/>
  <c r="F22" i="7"/>
  <c r="F23" i="7"/>
  <c r="F16" i="7"/>
  <c r="F17" i="7"/>
  <c r="F20" i="7"/>
  <c r="F24" i="7"/>
  <c r="F25" i="7"/>
  <c r="F26" i="7"/>
  <c r="F27" i="7"/>
  <c r="F9" i="7"/>
  <c r="F10" i="7"/>
  <c r="F11" i="7"/>
  <c r="Q9" i="7"/>
  <c r="Q10" i="7"/>
  <c r="Q11" i="7"/>
  <c r="Q12" i="7"/>
  <c r="Q14" i="7"/>
  <c r="Q15" i="7"/>
  <c r="Q16" i="7"/>
  <c r="Q18" i="7"/>
  <c r="Q19" i="7"/>
  <c r="Q13" i="7"/>
  <c r="Q20" i="7"/>
  <c r="Q23" i="7"/>
  <c r="Q17" i="7"/>
  <c r="Q21" i="7"/>
  <c r="Q22" i="7"/>
  <c r="Q24" i="7"/>
  <c r="Q25" i="7"/>
  <c r="Q26" i="7"/>
  <c r="Q27" i="7"/>
  <c r="E16" i="7"/>
  <c r="E17" i="7"/>
  <c r="E19" i="7"/>
  <c r="E18" i="7"/>
  <c r="E20" i="7"/>
  <c r="E22" i="7"/>
  <c r="E23" i="7"/>
  <c r="E12" i="7"/>
  <c r="E21" i="7"/>
  <c r="E24" i="7"/>
  <c r="E25" i="7"/>
  <c r="E26" i="7"/>
  <c r="E27" i="7"/>
  <c r="E9" i="7"/>
  <c r="E10" i="7"/>
  <c r="E11" i="7"/>
  <c r="E13" i="7"/>
  <c r="E14" i="7"/>
  <c r="E15" i="7"/>
  <c r="I14" i="7"/>
  <c r="I15" i="7"/>
  <c r="I13" i="7"/>
  <c r="I18" i="7"/>
  <c r="I19" i="7"/>
  <c r="I16" i="7"/>
  <c r="I20" i="7"/>
  <c r="I23" i="7"/>
  <c r="I12" i="7"/>
  <c r="I17" i="7"/>
  <c r="I21" i="7"/>
  <c r="I22" i="7"/>
  <c r="I24" i="7"/>
  <c r="I25" i="7"/>
  <c r="I26" i="7"/>
  <c r="I27" i="7"/>
  <c r="I9" i="7"/>
  <c r="I10" i="7"/>
  <c r="I11" i="7"/>
  <c r="D9" i="7"/>
  <c r="D10" i="7"/>
  <c r="D11" i="7"/>
  <c r="D12" i="7"/>
  <c r="D14" i="7"/>
  <c r="D15" i="7"/>
  <c r="D13" i="7"/>
  <c r="D19" i="7"/>
  <c r="D16" i="7"/>
  <c r="D23" i="7"/>
  <c r="D17" i="7"/>
  <c r="D18" i="7"/>
  <c r="D20" i="7"/>
  <c r="D21" i="7"/>
  <c r="D22" i="7"/>
  <c r="D24" i="7"/>
  <c r="D25" i="7"/>
  <c r="D26" i="7"/>
  <c r="D27" i="7"/>
  <c r="H12" i="7"/>
  <c r="H14" i="7"/>
  <c r="H15" i="7"/>
  <c r="H13" i="7"/>
  <c r="H16" i="7"/>
  <c r="H19" i="7"/>
  <c r="H17" i="7"/>
  <c r="H18" i="7"/>
  <c r="H21" i="7"/>
  <c r="H22" i="7"/>
  <c r="H23" i="7"/>
  <c r="H20" i="7"/>
  <c r="H24" i="7"/>
  <c r="H25" i="7"/>
  <c r="H26" i="7"/>
  <c r="H27" i="7"/>
  <c r="H9" i="7"/>
  <c r="H10" i="7"/>
  <c r="H11" i="7"/>
  <c r="C17" i="7"/>
  <c r="C20" i="7"/>
  <c r="C21" i="7"/>
  <c r="C22" i="7"/>
  <c r="C23" i="7"/>
  <c r="C24" i="7"/>
  <c r="C25" i="7"/>
  <c r="C26" i="7"/>
  <c r="C27" i="7"/>
  <c r="C9" i="7"/>
  <c r="C10" i="7"/>
  <c r="C11" i="7"/>
  <c r="C13" i="7"/>
  <c r="C14" i="7"/>
  <c r="C15" i="7"/>
  <c r="C12" i="7"/>
  <c r="C16" i="7"/>
  <c r="C18" i="7"/>
  <c r="C19" i="7"/>
  <c r="AA9" i="7"/>
  <c r="AA10" i="7"/>
  <c r="AA11" i="7"/>
  <c r="AA13" i="7"/>
  <c r="AA14" i="7"/>
  <c r="AA12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G20" i="7"/>
  <c r="G23" i="7"/>
  <c r="G16" i="7"/>
  <c r="G18" i="7"/>
  <c r="G21" i="7"/>
  <c r="G22" i="7"/>
  <c r="G24" i="7"/>
  <c r="G25" i="7"/>
  <c r="G26" i="7"/>
  <c r="G27" i="7"/>
  <c r="G9" i="7"/>
  <c r="G10" i="7"/>
  <c r="G11" i="7"/>
  <c r="G13" i="7"/>
  <c r="G14" i="7"/>
  <c r="G15" i="7"/>
  <c r="G12" i="7"/>
  <c r="G17" i="7"/>
  <c r="G19" i="7"/>
  <c r="B27" i="5" l="1"/>
  <c r="C27" i="5"/>
  <c r="D27" i="5"/>
  <c r="E27" i="5"/>
  <c r="F27" i="5"/>
  <c r="M27" i="6"/>
  <c r="N27" i="6" s="1"/>
  <c r="K27" i="6"/>
  <c r="G27" i="6"/>
  <c r="H27" i="6"/>
  <c r="J27" i="6"/>
  <c r="L27" i="6"/>
  <c r="I27" i="6"/>
  <c r="B21" i="5"/>
  <c r="D21" i="5"/>
  <c r="F21" i="5"/>
  <c r="C21" i="5"/>
  <c r="E21" i="5"/>
  <c r="M21" i="6"/>
  <c r="N21" i="6" s="1"/>
  <c r="G21" i="6"/>
  <c r="J21" i="6"/>
  <c r="I21" i="6"/>
  <c r="L21" i="6"/>
  <c r="K21" i="6"/>
  <c r="H21" i="6"/>
  <c r="B29" i="5"/>
  <c r="C29" i="5"/>
  <c r="D29" i="5"/>
  <c r="E29" i="5"/>
  <c r="F29" i="5"/>
  <c r="M29" i="6"/>
  <c r="N29" i="6" s="1"/>
  <c r="J29" i="6"/>
  <c r="K29" i="6"/>
  <c r="H29" i="6"/>
  <c r="I29" i="6"/>
  <c r="L29" i="6"/>
  <c r="G29" i="6"/>
  <c r="B28" i="5"/>
  <c r="C28" i="5"/>
  <c r="D28" i="5"/>
  <c r="E28" i="5"/>
  <c r="F28" i="5"/>
  <c r="M28" i="6"/>
  <c r="N28" i="6" s="1"/>
  <c r="K28" i="6"/>
  <c r="L28" i="6"/>
  <c r="G28" i="6"/>
  <c r="J28" i="6"/>
  <c r="I28" i="6"/>
  <c r="H28" i="6"/>
  <c r="B31" i="5"/>
  <c r="C31" i="5"/>
  <c r="D31" i="5"/>
  <c r="E31" i="5"/>
  <c r="F31" i="5"/>
  <c r="M31" i="6"/>
  <c r="G31" i="6"/>
  <c r="H31" i="6"/>
  <c r="I31" i="6"/>
  <c r="J31" i="6"/>
  <c r="K31" i="6"/>
  <c r="L31" i="6"/>
  <c r="B26" i="5"/>
  <c r="C26" i="5"/>
  <c r="D26" i="5"/>
  <c r="E26" i="5"/>
  <c r="F26" i="5"/>
  <c r="M26" i="6"/>
  <c r="N26" i="6" s="1"/>
  <c r="L26" i="6"/>
  <c r="H26" i="6"/>
  <c r="G26" i="6"/>
  <c r="J26" i="6"/>
  <c r="I26" i="6"/>
  <c r="K26" i="6"/>
  <c r="B19" i="5"/>
  <c r="D19" i="5"/>
  <c r="C19" i="5"/>
  <c r="F19" i="5"/>
  <c r="E19" i="5"/>
  <c r="M19" i="6"/>
  <c r="N19" i="6" s="1"/>
  <c r="H19" i="6"/>
  <c r="I19" i="6"/>
  <c r="G19" i="6"/>
  <c r="K19" i="6"/>
  <c r="J19" i="6"/>
  <c r="L19" i="6"/>
  <c r="E17" i="5"/>
  <c r="B17" i="5"/>
  <c r="F17" i="5"/>
  <c r="C17" i="5"/>
  <c r="D17" i="5"/>
  <c r="M17" i="6"/>
  <c r="N17" i="6" s="1"/>
  <c r="L17" i="6"/>
  <c r="J17" i="6"/>
  <c r="H17" i="6"/>
  <c r="K17" i="6"/>
  <c r="I17" i="6"/>
  <c r="G17" i="6"/>
  <c r="B14" i="5"/>
  <c r="D14" i="5"/>
  <c r="C14" i="5"/>
  <c r="F14" i="5"/>
  <c r="E14" i="5"/>
  <c r="M14" i="6"/>
  <c r="N14" i="6" s="1"/>
  <c r="L14" i="6"/>
  <c r="G14" i="6"/>
  <c r="J14" i="6"/>
  <c r="I14" i="6"/>
  <c r="H14" i="6"/>
  <c r="K14" i="6"/>
  <c r="M25" i="6"/>
  <c r="N25" i="6" s="1"/>
  <c r="B25" i="5"/>
  <c r="C25" i="5"/>
  <c r="D25" i="5"/>
  <c r="E25" i="5"/>
  <c r="F25" i="5"/>
  <c r="J25" i="6"/>
  <c r="H25" i="6"/>
  <c r="L25" i="6"/>
  <c r="I25" i="6"/>
  <c r="G25" i="6"/>
  <c r="K25" i="6"/>
  <c r="F16" i="5"/>
  <c r="B16" i="5"/>
  <c r="C16" i="5"/>
  <c r="D16" i="5"/>
  <c r="E16" i="5"/>
  <c r="M16" i="6"/>
  <c r="N16" i="6" s="1"/>
  <c r="L16" i="6"/>
  <c r="J16" i="6"/>
  <c r="I16" i="6"/>
  <c r="K16" i="6"/>
  <c r="G16" i="6"/>
  <c r="H16" i="6"/>
  <c r="C15" i="5"/>
  <c r="B15" i="5"/>
  <c r="D15" i="5"/>
  <c r="E15" i="5"/>
  <c r="F15" i="5"/>
  <c r="M15" i="6"/>
  <c r="N15" i="6" s="1"/>
  <c r="G15" i="6"/>
  <c r="H15" i="6"/>
  <c r="J15" i="6"/>
  <c r="K15" i="6"/>
  <c r="I15" i="6"/>
  <c r="L15" i="6"/>
  <c r="B24" i="5"/>
  <c r="C24" i="5"/>
  <c r="D24" i="5"/>
  <c r="E24" i="5"/>
  <c r="F24" i="5"/>
  <c r="M24" i="6"/>
  <c r="N24" i="6" s="1"/>
  <c r="G24" i="6"/>
  <c r="H24" i="6"/>
  <c r="I24" i="6"/>
  <c r="J24" i="6"/>
  <c r="K24" i="6"/>
  <c r="L24" i="6"/>
  <c r="B22" i="5"/>
  <c r="C22" i="5"/>
  <c r="D22" i="5"/>
  <c r="E22" i="5"/>
  <c r="F22" i="5"/>
  <c r="M22" i="6"/>
  <c r="N22" i="6" s="1"/>
  <c r="H22" i="6"/>
  <c r="G22" i="6"/>
  <c r="I22" i="6"/>
  <c r="J22" i="6"/>
  <c r="K22" i="6"/>
  <c r="L22" i="6"/>
  <c r="E18" i="5"/>
  <c r="C18" i="5"/>
  <c r="F18" i="5"/>
  <c r="D18" i="5"/>
  <c r="B18" i="5"/>
  <c r="M18" i="6"/>
  <c r="N18" i="6" s="1"/>
  <c r="G18" i="6"/>
  <c r="H18" i="6"/>
  <c r="K18" i="6"/>
  <c r="L18" i="6"/>
  <c r="J18" i="6"/>
  <c r="I18" i="6"/>
  <c r="B23" i="5"/>
  <c r="C23" i="5"/>
  <c r="D23" i="5"/>
  <c r="E23" i="5"/>
  <c r="F23" i="5"/>
  <c r="M23" i="6"/>
  <c r="N23" i="6" s="1"/>
  <c r="G23" i="6"/>
  <c r="H23" i="6"/>
  <c r="I23" i="6"/>
  <c r="J23" i="6"/>
  <c r="K23" i="6"/>
  <c r="L23" i="6"/>
  <c r="F13" i="5"/>
  <c r="D13" i="5"/>
  <c r="B13" i="5"/>
  <c r="E13" i="5"/>
  <c r="C13" i="5"/>
  <c r="M13" i="6"/>
  <c r="N13" i="6" s="1"/>
  <c r="H13" i="6"/>
  <c r="L13" i="6"/>
  <c r="J13" i="6"/>
  <c r="G13" i="6"/>
  <c r="K13" i="6"/>
  <c r="I13" i="6"/>
  <c r="B9" i="5"/>
  <c r="D9" i="5"/>
  <c r="C9" i="5"/>
  <c r="F9" i="5"/>
  <c r="E9" i="5"/>
  <c r="M9" i="6"/>
  <c r="N9" i="6" s="1"/>
  <c r="J9" i="6"/>
  <c r="G9" i="6"/>
  <c r="K9" i="6"/>
  <c r="L9" i="6"/>
  <c r="H9" i="6"/>
  <c r="I9" i="6"/>
  <c r="B20" i="5"/>
  <c r="C20" i="5"/>
  <c r="E20" i="5"/>
  <c r="D20" i="5"/>
  <c r="F20" i="5"/>
  <c r="M20" i="6"/>
  <c r="N20" i="6" s="1"/>
  <c r="J20" i="6"/>
  <c r="H20" i="6"/>
  <c r="G20" i="6"/>
  <c r="K20" i="6"/>
  <c r="L20" i="6"/>
  <c r="I20" i="6"/>
  <c r="E8" i="5"/>
  <c r="F8" i="5"/>
  <c r="C8" i="5"/>
  <c r="D8" i="5"/>
  <c r="B8" i="5"/>
  <c r="M8" i="6"/>
  <c r="N8" i="6" s="1"/>
  <c r="H8" i="6"/>
  <c r="G8" i="6"/>
  <c r="K8" i="6"/>
  <c r="I8" i="6"/>
  <c r="J8" i="6"/>
  <c r="L8" i="6"/>
  <c r="F12" i="5"/>
  <c r="E12" i="5"/>
  <c r="C12" i="5"/>
  <c r="D12" i="5"/>
  <c r="B12" i="5"/>
  <c r="M12" i="6"/>
  <c r="N12" i="6" s="1"/>
  <c r="H12" i="6"/>
  <c r="G12" i="6"/>
  <c r="K12" i="6"/>
  <c r="L12" i="6"/>
  <c r="I12" i="6"/>
  <c r="J12" i="6"/>
  <c r="F7" i="5"/>
  <c r="E7" i="5"/>
  <c r="D7" i="5"/>
  <c r="B7" i="5"/>
  <c r="C7" i="5"/>
  <c r="M7" i="6"/>
  <c r="N7" i="6" s="1"/>
  <c r="L7" i="6"/>
  <c r="H7" i="6"/>
  <c r="I7" i="6"/>
  <c r="K7" i="6"/>
  <c r="J7" i="6"/>
  <c r="G7" i="6"/>
  <c r="D11" i="5"/>
  <c r="E11" i="5"/>
  <c r="C11" i="5"/>
  <c r="F11" i="5"/>
  <c r="B11" i="5"/>
  <c r="M11" i="6"/>
  <c r="N11" i="6" s="1"/>
  <c r="H11" i="6"/>
  <c r="G11" i="6"/>
  <c r="L11" i="6"/>
  <c r="J11" i="6"/>
  <c r="K11" i="6"/>
  <c r="I11" i="6"/>
  <c r="B6" i="5"/>
  <c r="K5" i="2" s="1"/>
  <c r="C6" i="5"/>
  <c r="K6" i="2" s="1"/>
  <c r="D6" i="5"/>
  <c r="K7" i="2" s="1"/>
  <c r="E6" i="5"/>
  <c r="K8" i="2" s="1"/>
  <c r="F6" i="5"/>
  <c r="K9" i="2" s="1"/>
  <c r="M6" i="6"/>
  <c r="N6" i="6" s="1"/>
  <c r="I6" i="6"/>
  <c r="G6" i="6"/>
  <c r="L6" i="6"/>
  <c r="H6" i="6"/>
  <c r="J6" i="6"/>
  <c r="K6" i="6"/>
  <c r="B30" i="5"/>
  <c r="C30" i="5"/>
  <c r="D30" i="5"/>
  <c r="E30" i="5"/>
  <c r="F30" i="5"/>
  <c r="M30" i="6"/>
  <c r="N30" i="6" s="1"/>
  <c r="I30" i="6"/>
  <c r="H30" i="6"/>
  <c r="J30" i="6"/>
  <c r="K30" i="6"/>
  <c r="L30" i="6"/>
  <c r="G30" i="6"/>
  <c r="C10" i="5"/>
  <c r="D10" i="5"/>
  <c r="B10" i="5"/>
  <c r="E10" i="5"/>
  <c r="F10" i="5"/>
  <c r="M10" i="6"/>
  <c r="N10" i="6" s="1"/>
  <c r="I10" i="6"/>
  <c r="H10" i="6"/>
  <c r="K10" i="6"/>
  <c r="J10" i="6"/>
  <c r="G10" i="6"/>
  <c r="L10" i="6"/>
  <c r="P27" i="6" l="1"/>
  <c r="O27" i="6" s="1"/>
  <c r="P21" i="6"/>
  <c r="O21" i="6" s="1"/>
  <c r="P29" i="6"/>
  <c r="O29" i="6" s="1"/>
  <c r="P28" i="6"/>
  <c r="O28" i="6" s="1"/>
  <c r="P26" i="6"/>
  <c r="O26" i="6" s="1"/>
  <c r="P19" i="6"/>
  <c r="O19" i="6" s="1"/>
  <c r="P17" i="6"/>
  <c r="O17" i="6" s="1"/>
  <c r="P14" i="6"/>
  <c r="O14" i="6" s="1"/>
  <c r="P25" i="6"/>
  <c r="O25" i="6" s="1"/>
  <c r="P16" i="6"/>
  <c r="O16" i="6"/>
  <c r="P15" i="6"/>
  <c r="O15" i="6"/>
  <c r="P24" i="6"/>
  <c r="O24" i="6" s="1"/>
  <c r="P22" i="6"/>
  <c r="O22" i="6" s="1"/>
  <c r="P18" i="6"/>
  <c r="O18" i="6" s="1"/>
  <c r="P23" i="6"/>
  <c r="O23" i="6" s="1"/>
  <c r="P13" i="6"/>
  <c r="O13" i="6" s="1"/>
  <c r="P9" i="6"/>
  <c r="O9" i="6" s="1"/>
  <c r="P20" i="6"/>
  <c r="O20" i="6"/>
  <c r="O8" i="6"/>
  <c r="P8" i="6"/>
  <c r="P12" i="6"/>
  <c r="O12" i="6" s="1"/>
  <c r="P7" i="6"/>
  <c r="O7" i="6" s="1"/>
  <c r="P11" i="6"/>
  <c r="O11" i="6" s="1"/>
  <c r="P6" i="6"/>
  <c r="O6" i="6" s="1"/>
  <c r="P30" i="6"/>
  <c r="O30" i="6" s="1"/>
  <c r="P10" i="6"/>
  <c r="O10" i="6" s="1"/>
</calcChain>
</file>

<file path=xl/sharedStrings.xml><?xml version="1.0" encoding="utf-8"?>
<sst xmlns="http://schemas.openxmlformats.org/spreadsheetml/2006/main" count="224" uniqueCount="185">
  <si>
    <t>Balance Settings</t>
  </si>
  <si>
    <t>Yellow cells with blue text are inputs - change them and every tab recalculates. Values were copied from the Luau constants when this file was built.</t>
  </si>
  <si>
    <t>Setting</t>
  </si>
  <si>
    <t>Value</t>
  </si>
  <si>
    <t>Source / meaning</t>
  </si>
  <si>
    <t>Swing cooldown (s)</t>
  </si>
  <si>
    <t>ShearData.SwingCooldown</t>
  </si>
  <si>
    <t>Base spawn interval (s)</t>
  </si>
  <si>
    <t>FarmData.SpawnInterval</t>
  </si>
  <si>
    <t>Faster Respawn level</t>
  </si>
  <si>
    <t>Your choice (0-8): upgrade level to model</t>
  </si>
  <si>
    <t>Seconds off per Faster Respawn level</t>
  </si>
  <si>
    <t>UpgradeData.RespawnSecondsPerLevel</t>
  </si>
  <si>
    <t>Shear Damage level</t>
  </si>
  <si>
    <t>Your choice (0-10): upgrade level to model</t>
  </si>
  <si>
    <t>Damage bonus per level</t>
  </si>
  <si>
    <t>UpgradeData.ShearDamagePerLevel</t>
  </si>
  <si>
    <t>More Wool level</t>
  </si>
  <si>
    <t>Your choice: upgrade level to model</t>
  </si>
  <si>
    <t>Wool multiplier per More Wool level</t>
  </si>
  <si>
    <t>UpgradeData.MoreWoolPerLevel</t>
  </si>
  <si>
    <t>Sheep hit per swing (avg)</t>
  </si>
  <si>
    <t>Assumption: 1 = one sheep at a time. Raise it to model bigger shears hitting groups</t>
  </si>
  <si>
    <t>LUCK_STRENGTH</t>
  </si>
  <si>
    <t>SheepData.LUCK_STRENGTH</t>
  </si>
  <si>
    <t>MAX_REBIRTHS</t>
  </si>
  <si>
    <t>RebirthData.MAX_REBIRTHS</t>
  </si>
  <si>
    <t>Rebirth COST_BASE (wool)</t>
  </si>
  <si>
    <t>RebirthData.COST_BASE</t>
  </si>
  <si>
    <t>Rebirth COST_GROWTH</t>
  </si>
  <si>
    <t>RebirthData.COST_GROWTH</t>
  </si>
  <si>
    <t>Rebirth MULTIPLIER_GROWTH</t>
  </si>
  <si>
    <t>RebirthData.MULTIPLIER_GROWTH</t>
  </si>
  <si>
    <t>Rebirth LUCK_BASE</t>
  </si>
  <si>
    <t>RebirthData.LUCK_BASE</t>
  </si>
  <si>
    <t>Rebirth LUCK_GROWTH</t>
  </si>
  <si>
    <t>RebirthData.LUCK_GROWTH</t>
  </si>
  <si>
    <t>LUCK_MILESTONE (every Nth rebirth)</t>
  </si>
  <si>
    <t>RebirthData.LUCK_MILESTONE</t>
  </si>
  <si>
    <t>LUCK_MILESTONE_BONUS</t>
  </si>
  <si>
    <t>RebirthData.LUCK_MILESTONE_BONUS</t>
  </si>
  <si>
    <t>Effective spawn interval (s)</t>
  </si>
  <si>
    <t>Calculated</t>
  </si>
  <si>
    <t>More Wool multiplier</t>
  </si>
  <si>
    <t>Assumptions behind the wool-per-minute numbers:</t>
  </si>
  <si>
    <t>- The player swings non-stop with no walking time; time to shear a sheep = swings needed x cooldown / sheep hit per swing.</t>
  </si>
  <si>
    <t>- A sheep can't be sheared faster than the farm refills, so time per sheep is never below the effective spawn interval.</t>
  </si>
  <si>
    <t>- Rebirth odds use only the Luck a rebirth starts you with. Luck earned from shearing and from the Index during a run is extra.</t>
  </si>
  <si>
    <t>- Baby sheep share their type's odds and stats, so they're counted inside their adult type.</t>
  </si>
  <si>
    <t>Shears</t>
  </si>
  <si>
    <t>Blue = copied from ShearData.luau. Effective damage includes the Shear Damage level on the Settings tab.</t>
  </si>
  <si>
    <t>Shear</t>
  </si>
  <si>
    <t>Price (wool)</t>
  </si>
  <si>
    <t>Sheep sheared to unlock</t>
  </si>
  <si>
    <t>Base damage</t>
  </si>
  <si>
    <t>Range (studs)</t>
  </si>
  <si>
    <t>Effective damage</t>
  </si>
  <si>
    <t>Swings per second</t>
  </si>
  <si>
    <t>Damage per second</t>
  </si>
  <si>
    <t>Swings to shear Basic</t>
  </si>
  <si>
    <t>Swings to shear rarest</t>
  </si>
  <si>
    <t>Wool/min at Rebirth 0</t>
  </si>
  <si>
    <t>DefaultShear</t>
  </si>
  <si>
    <t>SteelShears</t>
  </si>
  <si>
    <t>LargeShears</t>
  </si>
  <si>
    <t>ElectricShears</t>
  </si>
  <si>
    <t>MasterShears</t>
  </si>
  <si>
    <t>Sheep</t>
  </si>
  <si>
    <t>Blue = copied from SheepData.luau. Change a chance here to test new odds, then copy the final number back into the Luau file.</t>
  </si>
  <si>
    <t>Key</t>
  </si>
  <si>
    <t>Rarity</t>
  </si>
  <si>
    <t>Tier</t>
  </si>
  <si>
    <t>Shear Health</t>
  </si>
  <si>
    <t>Wool Amount</t>
  </si>
  <si>
    <t>Luck Amount</t>
  </si>
  <si>
    <t>Chance (weight)</t>
  </si>
  <si>
    <t>Base odds (no Luck)</t>
  </si>
  <si>
    <t>Base %</t>
  </si>
  <si>
    <t>Wool per health</t>
  </si>
  <si>
    <t>Basic Sheep</t>
  </si>
  <si>
    <t>Basic</t>
  </si>
  <si>
    <t>Common</t>
  </si>
  <si>
    <t>Grey Sheep</t>
  </si>
  <si>
    <t>Grey</t>
  </si>
  <si>
    <t>Brown Sheep</t>
  </si>
  <si>
    <t>Brown</t>
  </si>
  <si>
    <t>Uncommon</t>
  </si>
  <si>
    <t>Black Sheep</t>
  </si>
  <si>
    <t>Black</t>
  </si>
  <si>
    <t>Fluffy Sheep</t>
  </si>
  <si>
    <t>Fluffy</t>
  </si>
  <si>
    <t>Rare</t>
  </si>
  <si>
    <t>Cotton Candy Sheep</t>
  </si>
  <si>
    <t>CottonCandy</t>
  </si>
  <si>
    <t>Ice Sheep</t>
  </si>
  <si>
    <t>Ice</t>
  </si>
  <si>
    <t>Golden Sheep</t>
  </si>
  <si>
    <t>Golden</t>
  </si>
  <si>
    <t>Epic</t>
  </si>
  <si>
    <t>Stone Sheep</t>
  </si>
  <si>
    <t>Stone</t>
  </si>
  <si>
    <t>Mummy Sheep</t>
  </si>
  <si>
    <t>Mummy</t>
  </si>
  <si>
    <t>Luck Sheep</t>
  </si>
  <si>
    <t>Lucky</t>
  </si>
  <si>
    <t>Emerald Sheep</t>
  </si>
  <si>
    <t>Emerald</t>
  </si>
  <si>
    <t>Pumpkin Sheep</t>
  </si>
  <si>
    <t>Pumpkin</t>
  </si>
  <si>
    <t>Legendary</t>
  </si>
  <si>
    <t>Spotted Sheep</t>
  </si>
  <si>
    <t>Spotted</t>
  </si>
  <si>
    <t>Ruby Sheep</t>
  </si>
  <si>
    <t>Ruby</t>
  </si>
  <si>
    <t>Vampire Sheep</t>
  </si>
  <si>
    <t>Vampire</t>
  </si>
  <si>
    <t>Diamond Sheep</t>
  </si>
  <si>
    <t>Diamond</t>
  </si>
  <si>
    <t>Mythic</t>
  </si>
  <si>
    <t>Rainbow Sheep</t>
  </si>
  <si>
    <t>Rainbow</t>
  </si>
  <si>
    <t>Obsidian Sheep</t>
  </si>
  <si>
    <t>Obsidian</t>
  </si>
  <si>
    <t>Total</t>
  </si>
  <si>
    <t>Rarities</t>
  </si>
  <si>
    <t>Weight band of each tier. Keep a sheep's chance inside its tier's band and it won't feel out of place.</t>
  </si>
  <si>
    <t>Tier (Luck power)</t>
  </si>
  <si>
    <t>Sheep in tier</t>
  </si>
  <si>
    <t>Min weight</t>
  </si>
  <si>
    <t>Max weight</t>
  </si>
  <si>
    <t>Total weight</t>
  </si>
  <si>
    <t>Odds of any sheep in tier</t>
  </si>
  <si>
    <t>Odds of commonest in tier</t>
  </si>
  <si>
    <t>Odds of rarest in tier</t>
  </si>
  <si>
    <t>Tier is the power Luck is raised to: a sheep's weight is multiplied by luckFactor ^ tier, so Mythics gain the most from Luck.</t>
  </si>
  <si>
    <t>Wool per Minute</t>
  </si>
  <si>
    <t>Expected wool a minute for each shear at each rebirth, using the upgrade levels and assumptions on the Settings tab.</t>
  </si>
  <si>
    <t>Rebirths</t>
  </si>
  <si>
    <t>Seconds of swinging to shear each sheep bare (before the spawn-interval cap)</t>
  </si>
  <si>
    <t>Luck each rebirth grants, the Luck a farm starts with, and what a run at that rebirth is expected to turn up.</t>
  </si>
  <si>
    <t>Rebirths done</t>
  </si>
  <si>
    <t>Wool to rebirth again</t>
  </si>
  <si>
    <t>Wool multiplier</t>
  </si>
  <si>
    <t>Luck from this rebirth</t>
  </si>
  <si>
    <t>Starting Luck</t>
  </si>
  <si>
    <t>Luck factor</t>
  </si>
  <si>
    <t>Common odds</t>
  </si>
  <si>
    <t>Uncommon odds</t>
  </si>
  <si>
    <t>Rare odds</t>
  </si>
  <si>
    <t>Epic odds</t>
  </si>
  <si>
    <t>Legendary odds</t>
  </si>
  <si>
    <t>Mythic odds</t>
  </si>
  <si>
    <t>Avg wool per sheep</t>
  </si>
  <si>
    <t>Sheep to shear for next rebirth</t>
  </si>
  <si>
    <t>Rarest sheep expected this run</t>
  </si>
  <si>
    <t>Its odds</t>
  </si>
  <si>
    <t>Rarest sheep expected = the rarest sheep whose odds are no worse than the number of sheep you shear before affording the next rebirth (ignores upgrade spending and Luck earned mid-run).</t>
  </si>
  <si>
    <t>Odds by Rebirth</t>
  </si>
  <si>
    <t>Each sheep's "1 in N" odds with the Luck a farm starts with after that many rebirths.</t>
  </si>
  <si>
    <t>Rebirth 0</t>
  </si>
  <si>
    <t>Rebirth 1</t>
  </si>
  <si>
    <t>Rebirth 2</t>
  </si>
  <si>
    <t>Rebirth 3</t>
  </si>
  <si>
    <t>Rebirth 4</t>
  </si>
  <si>
    <t>Rebirth 5</t>
  </si>
  <si>
    <t>Rebirth 6</t>
  </si>
  <si>
    <t>Rebirth 7</t>
  </si>
  <si>
    <t>Rebirth 8</t>
  </si>
  <si>
    <t>Rebirth 9</t>
  </si>
  <si>
    <t>Rebirth 10</t>
  </si>
  <si>
    <t>Rebirth 11</t>
  </si>
  <si>
    <t>Rebirth 12</t>
  </si>
  <si>
    <t>Rebirth 13</t>
  </si>
  <si>
    <t>Rebirth 14</t>
  </si>
  <si>
    <t>Rebirth 15</t>
  </si>
  <si>
    <t>Rebirth 16</t>
  </si>
  <si>
    <t>Rebirth 17</t>
  </si>
  <si>
    <t>Rebirth 18</t>
  </si>
  <si>
    <t>Rebirth 19</t>
  </si>
  <si>
    <t>Rebirth 20</t>
  </si>
  <si>
    <t>Rebirth 21</t>
  </si>
  <si>
    <t>Rebirth 22</t>
  </si>
  <si>
    <t>Rebirth 23</t>
  </si>
  <si>
    <t>Rebirth 24</t>
  </si>
  <si>
    <t>Rebirth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</si>
</sst>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&quot;x&quot;"/>
    <numFmt numFmtId="165" formatCode="0.0"/>
    <numFmt numFmtId="166" formatCode="#,##0.0"/>
    <numFmt numFmtId="167" formatCode="&quot;1 in &quot;#,##0"/>
    <numFmt numFmtId="168" formatCode="0.000%"/>
    <numFmt numFmtId="169" formatCode="0.000"/>
    <numFmt numFmtId="170" formatCode="0.0%"/>
    <numFmt numFmtId="171" formatCode="#,##0.00&quot;x&quot;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  <font>
      <b/>
      <sz val="10"/>
      <color rgb="FF6B7280"/>
      <name val="Arial"/>
    </font>
    <font>
      <b/>
      <sz val="10"/>
      <color rgb="FF15803D"/>
      <name val="Arial"/>
    </font>
    <font>
      <b/>
      <sz val="10"/>
      <color rgb="FF1D4ED8"/>
      <name val="Arial"/>
    </font>
    <font>
      <b/>
      <sz val="10"/>
      <color rgb="FF7E22CE"/>
      <name val="Arial"/>
    </font>
    <font>
      <b/>
      <sz val="10"/>
      <color rgb="FFC2410C"/>
      <name val="Arial"/>
    </font>
    <font>
      <b/>
      <sz val="10"/>
      <color rgb="FFBE123C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9C4"/>
      </patternFill>
    </fill>
    <fill>
      <patternFill patternType="solid">
        <fgColor rgb="FF6B7280"/>
      </patternFill>
    </fill>
    <fill>
      <patternFill patternType="solid">
        <fgColor rgb="FF15803D"/>
      </patternFill>
    </fill>
    <fill>
      <patternFill patternType="solid">
        <fgColor rgb="FF1D4ED8"/>
      </patternFill>
    </fill>
    <fill>
      <patternFill patternType="solid">
        <fgColor rgb="FF7E22CE"/>
      </patternFill>
    </fill>
    <fill>
      <patternFill patternType="solid">
        <fgColor rgb="FFC2410C"/>
      </patternFill>
    </fill>
    <fill>
      <patternFill patternType="solid">
        <fgColor rgb="FFBE123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0" fontId="2" fillId="0" borderId="1" xfId="0" applyFont="1" applyBorder="1"/>
    <xf numFmtId="0" fontId="6" fillId="0" borderId="1" xfId="0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0" fontId="6" fillId="0" borderId="0" xfId="0" applyFont="1"/>
    <xf numFmtId="3" fontId="5" fillId="0" borderId="1" xfId="0" applyNumberFormat="1" applyFont="1" applyBorder="1"/>
    <xf numFmtId="3" fontId="5" fillId="3" borderId="1" xfId="0" applyNumberFormat="1" applyFont="1" applyFill="1" applyBorder="1"/>
    <xf numFmtId="165" fontId="5" fillId="0" borderId="1" xfId="0" applyNumberFormat="1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3" fontId="7" fillId="0" borderId="1" xfId="0" applyNumberFormat="1" applyFont="1" applyBorder="1"/>
    <xf numFmtId="0" fontId="8" fillId="0" borderId="1" xfId="0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3" fontId="6" fillId="0" borderId="1" xfId="0" applyNumberFormat="1" applyFont="1" applyBorder="1"/>
    <xf numFmtId="170" fontId="6" fillId="0" borderId="1" xfId="0" applyNumberFormat="1" applyFont="1" applyBorder="1"/>
    <xf numFmtId="0" fontId="7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71" fontId="4" fillId="0" borderId="1" xfId="0" applyNumberFormat="1" applyFont="1" applyBorder="1"/>
    <xf numFmtId="16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tabSelected="1" workbookViewId="0"/>
  </sheetViews>
  <sheetFormatPr defaultRowHeight="15" x14ac:dyDescent="0.25"/>
  <cols>
    <col min="1" max="1" width="38" customWidth="1"/>
    <col min="2" max="2" width="14" customWidth="1"/>
    <col min="3" max="3" width="8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ht="30" customHeight="1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0.35</v>
      </c>
      <c r="C5" s="6" t="s">
        <v>6</v>
      </c>
    </row>
    <row r="6" spans="1:3" x14ac:dyDescent="0.25">
      <c r="A6" s="4" t="s">
        <v>7</v>
      </c>
      <c r="B6" s="5">
        <v>1.5</v>
      </c>
      <c r="C6" s="6" t="s">
        <v>8</v>
      </c>
    </row>
    <row r="7" spans="1:3" x14ac:dyDescent="0.25">
      <c r="A7" s="4" t="s">
        <v>9</v>
      </c>
      <c r="B7" s="5">
        <v>0</v>
      </c>
      <c r="C7" s="6" t="s">
        <v>10</v>
      </c>
    </row>
    <row r="8" spans="1:3" x14ac:dyDescent="0.25">
      <c r="A8" s="4" t="s">
        <v>11</v>
      </c>
      <c r="B8" s="5">
        <v>0.1</v>
      </c>
      <c r="C8" s="6" t="s">
        <v>12</v>
      </c>
    </row>
    <row r="9" spans="1:3" x14ac:dyDescent="0.25">
      <c r="A9" s="4" t="s">
        <v>13</v>
      </c>
      <c r="B9" s="5">
        <v>0</v>
      </c>
      <c r="C9" s="6" t="s">
        <v>14</v>
      </c>
    </row>
    <row r="10" spans="1:3" x14ac:dyDescent="0.25">
      <c r="A10" s="4" t="s">
        <v>15</v>
      </c>
      <c r="B10" s="5">
        <v>0.1</v>
      </c>
      <c r="C10" s="6" t="s">
        <v>16</v>
      </c>
    </row>
    <row r="11" spans="1:3" x14ac:dyDescent="0.25">
      <c r="A11" s="4" t="s">
        <v>17</v>
      </c>
      <c r="B11" s="5">
        <v>0</v>
      </c>
      <c r="C11" s="6" t="s">
        <v>18</v>
      </c>
    </row>
    <row r="12" spans="1:3" x14ac:dyDescent="0.25">
      <c r="A12" s="4" t="s">
        <v>19</v>
      </c>
      <c r="B12" s="5">
        <v>0.25</v>
      </c>
      <c r="C12" s="6" t="s">
        <v>20</v>
      </c>
    </row>
    <row r="13" spans="1:3" x14ac:dyDescent="0.25">
      <c r="A13" s="4" t="s">
        <v>21</v>
      </c>
      <c r="B13" s="5">
        <v>1</v>
      </c>
      <c r="C13" s="6" t="s">
        <v>22</v>
      </c>
    </row>
    <row r="14" spans="1:3" x14ac:dyDescent="0.25">
      <c r="A14" s="4" t="s">
        <v>23</v>
      </c>
      <c r="B14" s="5">
        <v>0.5</v>
      </c>
      <c r="C14" s="6" t="s">
        <v>24</v>
      </c>
    </row>
    <row r="15" spans="1:3" x14ac:dyDescent="0.25">
      <c r="A15" s="4" t="s">
        <v>25</v>
      </c>
      <c r="B15" s="5">
        <v>25</v>
      </c>
      <c r="C15" s="6" t="s">
        <v>26</v>
      </c>
    </row>
    <row r="16" spans="1:3" x14ac:dyDescent="0.25">
      <c r="A16" s="4" t="s">
        <v>27</v>
      </c>
      <c r="B16" s="5">
        <v>1500</v>
      </c>
      <c r="C16" s="6" t="s">
        <v>28</v>
      </c>
    </row>
    <row r="17" spans="1:3" x14ac:dyDescent="0.25">
      <c r="A17" s="4" t="s">
        <v>29</v>
      </c>
      <c r="B17" s="5">
        <v>3</v>
      </c>
      <c r="C17" s="6" t="s">
        <v>30</v>
      </c>
    </row>
    <row r="18" spans="1:3" x14ac:dyDescent="0.25">
      <c r="A18" s="4" t="s">
        <v>31</v>
      </c>
      <c r="B18" s="5">
        <v>1.5</v>
      </c>
      <c r="C18" s="6" t="s">
        <v>32</v>
      </c>
    </row>
    <row r="19" spans="1:3" x14ac:dyDescent="0.25">
      <c r="A19" s="4" t="s">
        <v>33</v>
      </c>
      <c r="B19" s="5">
        <v>50</v>
      </c>
      <c r="C19" s="6" t="s">
        <v>34</v>
      </c>
    </row>
    <row r="20" spans="1:3" x14ac:dyDescent="0.25">
      <c r="A20" s="4" t="s">
        <v>35</v>
      </c>
      <c r="B20" s="5">
        <v>1.45</v>
      </c>
      <c r="C20" s="6" t="s">
        <v>36</v>
      </c>
    </row>
    <row r="21" spans="1:3" x14ac:dyDescent="0.25">
      <c r="A21" s="4" t="s">
        <v>37</v>
      </c>
      <c r="B21" s="5">
        <v>5</v>
      </c>
      <c r="C21" s="6" t="s">
        <v>38</v>
      </c>
    </row>
    <row r="22" spans="1:3" x14ac:dyDescent="0.25">
      <c r="A22" s="4" t="s">
        <v>39</v>
      </c>
      <c r="B22" s="5">
        <v>2</v>
      </c>
      <c r="C22" s="6" t="s">
        <v>40</v>
      </c>
    </row>
    <row r="23" spans="1:3" x14ac:dyDescent="0.25">
      <c r="A23" s="7" t="s">
        <v>41</v>
      </c>
      <c r="B23" s="8">
        <f>MAX(Settings!$B$6-Settings!$B$8*Settings!$B$7,0.1)</f>
        <v>1.5</v>
      </c>
      <c r="C23" s="6" t="s">
        <v>42</v>
      </c>
    </row>
    <row r="24" spans="1:3" x14ac:dyDescent="0.25">
      <c r="A24" s="7" t="s">
        <v>43</v>
      </c>
      <c r="B24" s="9">
        <f>1+Settings!$B$12*Settings!$B$11</f>
        <v>1</v>
      </c>
      <c r="C24" s="6" t="s">
        <v>42</v>
      </c>
    </row>
    <row r="26" spans="1:3" x14ac:dyDescent="0.25">
      <c r="A26" s="10" t="s">
        <v>44</v>
      </c>
    </row>
    <row r="27" spans="1:3" x14ac:dyDescent="0.25">
      <c r="A27" s="2" t="s">
        <v>45</v>
      </c>
    </row>
    <row r="28" spans="1:3" x14ac:dyDescent="0.25">
      <c r="A28" s="2" t="s">
        <v>46</v>
      </c>
    </row>
    <row r="29" spans="1:3" x14ac:dyDescent="0.25">
      <c r="A29" s="2" t="s">
        <v>47</v>
      </c>
    </row>
    <row r="30" spans="1:3" x14ac:dyDescent="0.25">
      <c r="A30" s="2" t="s">
        <v>48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showGridLines="0" workbookViewId="0"/>
  </sheetViews>
  <sheetFormatPr defaultRowHeight="15" x14ac:dyDescent="0.25"/>
  <cols>
    <col min="1" max="1" width="18" customWidth="1"/>
    <col min="2" max="2" width="12" customWidth="1"/>
    <col min="3" max="3" width="14" customWidth="1"/>
    <col min="4" max="5" width="11" customWidth="1"/>
    <col min="6" max="6" width="12" customWidth="1"/>
    <col min="7" max="7" width="11" customWidth="1"/>
    <col min="8" max="10" width="12" customWidth="1"/>
    <col min="11" max="11" width="14" customWidth="1"/>
  </cols>
  <sheetData>
    <row r="1" spans="1:11" ht="18" x14ac:dyDescent="0.25">
      <c r="A1" s="1" t="s">
        <v>49</v>
      </c>
    </row>
    <row r="2" spans="1:11" x14ac:dyDescent="0.25">
      <c r="A2" s="2" t="s">
        <v>50</v>
      </c>
    </row>
    <row r="4" spans="1:11" ht="30" customHeight="1" x14ac:dyDescent="0.2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</row>
    <row r="5" spans="1:11" x14ac:dyDescent="0.25">
      <c r="A5" s="7" t="s">
        <v>62</v>
      </c>
      <c r="B5" s="11">
        <v>0</v>
      </c>
      <c r="C5" s="11">
        <v>0</v>
      </c>
      <c r="D5" s="12">
        <v>20</v>
      </c>
      <c r="E5" s="13">
        <v>6</v>
      </c>
      <c r="F5" s="14">
        <f>MAX(ROUND(D5*(1+Settings!$B$10*Settings!$B$9),0),1)</f>
        <v>20</v>
      </c>
      <c r="G5" s="8">
        <f>1/Settings!$B$5</f>
        <v>2.8571428571428572</v>
      </c>
      <c r="H5" s="15">
        <f>F5*G5</f>
        <v>57.142857142857146</v>
      </c>
      <c r="I5" s="4">
        <f>CEILING(INDEX(Sheep!$E$5:$E$23,MATCH("Basic Sheep",Sheep!$A$5:$A$23,0))/F5,1)</f>
        <v>5</v>
      </c>
      <c r="J5" s="4">
        <f>CEILING(INDEX(Sheep!$E$5:$E$23,MATCH(MIN(Sheep!$H$5:$H$23),Sheep!$H$5:$H$23,0))/F5,1)</f>
        <v>14</v>
      </c>
      <c r="K5" s="16">
        <f>'Wool per Minute'!B6</f>
        <v>580.73235751510219</v>
      </c>
    </row>
    <row r="6" spans="1:11" x14ac:dyDescent="0.25">
      <c r="A6" s="7" t="s">
        <v>63</v>
      </c>
      <c r="B6" s="11">
        <v>300</v>
      </c>
      <c r="C6" s="11">
        <v>25</v>
      </c>
      <c r="D6" s="12">
        <v>26</v>
      </c>
      <c r="E6" s="13">
        <v>7.5</v>
      </c>
      <c r="F6" s="14">
        <f>MAX(ROUND(D6*(1+Settings!$B$10*Settings!$B$9),0),1)</f>
        <v>26</v>
      </c>
      <c r="G6" s="8">
        <f>1/Settings!$B$5</f>
        <v>2.8571428571428572</v>
      </c>
      <c r="H6" s="15">
        <f>F6*G6</f>
        <v>74.285714285714292</v>
      </c>
      <c r="I6" s="4">
        <f>CEILING(INDEX(Sheep!$E$5:$E$23,MATCH("Basic Sheep",Sheep!$A$5:$A$23,0))/F6,1)</f>
        <v>4</v>
      </c>
      <c r="J6" s="4">
        <f>CEILING(INDEX(Sheep!$E$5:$E$23,MATCH(MIN(Sheep!$H$5:$H$23),Sheep!$H$5:$H$23,0))/F6,1)</f>
        <v>11</v>
      </c>
      <c r="K6" s="16">
        <f>'Wool per Minute'!C6</f>
        <v>721.45011643564271</v>
      </c>
    </row>
    <row r="7" spans="1:11" x14ac:dyDescent="0.25">
      <c r="A7" s="7" t="s">
        <v>64</v>
      </c>
      <c r="B7" s="11">
        <v>1200</v>
      </c>
      <c r="C7" s="11">
        <v>100</v>
      </c>
      <c r="D7" s="12">
        <v>34</v>
      </c>
      <c r="E7" s="13">
        <v>9</v>
      </c>
      <c r="F7" s="14">
        <f>MAX(ROUND(D7*(1+Settings!$B$10*Settings!$B$9),0),1)</f>
        <v>34</v>
      </c>
      <c r="G7" s="8">
        <f>1/Settings!$B$5</f>
        <v>2.8571428571428572</v>
      </c>
      <c r="H7" s="15">
        <f>F7*G7</f>
        <v>97.142857142857139</v>
      </c>
      <c r="I7" s="4">
        <f>CEILING(INDEX(Sheep!$E$5:$E$23,MATCH("Basic Sheep",Sheep!$A$5:$A$23,0))/F7,1)</f>
        <v>3</v>
      </c>
      <c r="J7" s="4">
        <f>CEILING(INDEX(Sheep!$E$5:$E$23,MATCH(MIN(Sheep!$H$5:$H$23),Sheep!$H$5:$H$23,0))/F7,1)</f>
        <v>8</v>
      </c>
      <c r="K7" s="16">
        <f>'Wool per Minute'!D6</f>
        <v>787.46505699855015</v>
      </c>
    </row>
    <row r="8" spans="1:11" x14ac:dyDescent="0.25">
      <c r="A8" s="7" t="s">
        <v>65</v>
      </c>
      <c r="B8" s="11">
        <v>4000</v>
      </c>
      <c r="C8" s="11">
        <v>300</v>
      </c>
      <c r="D8" s="12">
        <v>45</v>
      </c>
      <c r="E8" s="13">
        <v>11</v>
      </c>
      <c r="F8" s="14">
        <f>MAX(ROUND(D8*(1+Settings!$B$10*Settings!$B$9),0),1)</f>
        <v>45</v>
      </c>
      <c r="G8" s="8">
        <f>1/Settings!$B$5</f>
        <v>2.8571428571428572</v>
      </c>
      <c r="H8" s="15">
        <f>F8*G8</f>
        <v>128.57142857142858</v>
      </c>
      <c r="I8" s="4">
        <f>CEILING(INDEX(Sheep!$E$5:$E$23,MATCH("Basic Sheep",Sheep!$A$5:$A$23,0))/F8,1)</f>
        <v>3</v>
      </c>
      <c r="J8" s="4">
        <f>CEILING(INDEX(Sheep!$E$5:$E$23,MATCH(MIN(Sheep!$H$5:$H$23),Sheep!$H$5:$H$23,0))/F8,1)</f>
        <v>6</v>
      </c>
      <c r="K8" s="16">
        <f>'Wool per Minute'!E6</f>
        <v>787.46505699855015</v>
      </c>
    </row>
    <row r="9" spans="1:11" x14ac:dyDescent="0.25">
      <c r="A9" s="7" t="s">
        <v>66</v>
      </c>
      <c r="B9" s="11">
        <v>12000</v>
      </c>
      <c r="C9" s="11">
        <v>750</v>
      </c>
      <c r="D9" s="12">
        <v>60</v>
      </c>
      <c r="E9" s="13">
        <v>13</v>
      </c>
      <c r="F9" s="14">
        <f>MAX(ROUND(D9*(1+Settings!$B$10*Settings!$B$9),0),1)</f>
        <v>60</v>
      </c>
      <c r="G9" s="8">
        <f>1/Settings!$B$5</f>
        <v>2.8571428571428572</v>
      </c>
      <c r="H9" s="15">
        <f>F9*G9</f>
        <v>171.42857142857144</v>
      </c>
      <c r="I9" s="4">
        <f>CEILING(INDEX(Sheep!$E$5:$E$23,MATCH("Basic Sheep",Sheep!$A$5:$A$23,0))/F9,1)</f>
        <v>2</v>
      </c>
      <c r="J9" s="4">
        <f>CEILING(INDEX(Sheep!$E$5:$E$23,MATCH(MIN(Sheep!$H$5:$H$23),Sheep!$H$5:$H$23,0))/F9,1)</f>
        <v>5</v>
      </c>
      <c r="K9" s="16">
        <f>'Wool per Minute'!F6</f>
        <v>787.46505699855015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7" customWidth="1"/>
    <col min="5" max="7" width="13" customWidth="1"/>
    <col min="8" max="8" width="16" customWidth="1"/>
    <col min="9" max="9" width="18" customWidth="1"/>
    <col min="10" max="10" width="11" customWidth="1"/>
    <col min="11" max="11" width="14" customWidth="1"/>
  </cols>
  <sheetData>
    <row r="1" spans="1:11" ht="18" x14ac:dyDescent="0.25">
      <c r="A1" s="1" t="s">
        <v>67</v>
      </c>
    </row>
    <row r="2" spans="1:11" x14ac:dyDescent="0.25">
      <c r="A2" s="2" t="s">
        <v>68</v>
      </c>
    </row>
    <row r="4" spans="1:11" ht="30" customHeight="1" x14ac:dyDescent="0.25">
      <c r="A4" s="3" t="s">
        <v>67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</row>
    <row r="5" spans="1:11" x14ac:dyDescent="0.25">
      <c r="A5" s="7" t="s">
        <v>79</v>
      </c>
      <c r="B5" s="6" t="s">
        <v>80</v>
      </c>
      <c r="C5" s="17" t="s">
        <v>81</v>
      </c>
      <c r="D5" s="4">
        <f>MATCH(C5,Rarities!$A$5:$A$10,0)-1</f>
        <v>0</v>
      </c>
      <c r="E5" s="11">
        <v>100</v>
      </c>
      <c r="F5" s="11">
        <v>15</v>
      </c>
      <c r="G5" s="11">
        <v>1</v>
      </c>
      <c r="H5" s="12">
        <v>500000</v>
      </c>
      <c r="I5" s="18">
        <f t="shared" ref="I5:I23" si="0">SUM($H$5:$H$23)/H5</f>
        <v>2.1105800000000001</v>
      </c>
      <c r="J5" s="19">
        <f t="shared" ref="J5:J23" si="1">H5/SUM($H$5:$H$23)</f>
        <v>0.47380340948933469</v>
      </c>
      <c r="K5" s="20">
        <f t="shared" ref="K5:K23" si="2">F5/E5</f>
        <v>0.15</v>
      </c>
    </row>
    <row r="6" spans="1:11" x14ac:dyDescent="0.25">
      <c r="A6" s="7" t="s">
        <v>82</v>
      </c>
      <c r="B6" s="6" t="s">
        <v>83</v>
      </c>
      <c r="C6" s="17" t="s">
        <v>81</v>
      </c>
      <c r="D6" s="4">
        <f>MATCH(C6,Rarities!$A$5:$A$10,0)-1</f>
        <v>0</v>
      </c>
      <c r="E6" s="11">
        <v>105</v>
      </c>
      <c r="F6" s="11">
        <v>18</v>
      </c>
      <c r="G6" s="11">
        <v>1</v>
      </c>
      <c r="H6" s="12">
        <v>250000</v>
      </c>
      <c r="I6" s="18">
        <f t="shared" si="0"/>
        <v>4.2211600000000002</v>
      </c>
      <c r="J6" s="19">
        <f t="shared" si="1"/>
        <v>0.23690170474466735</v>
      </c>
      <c r="K6" s="20">
        <f t="shared" si="2"/>
        <v>0.17142857142857143</v>
      </c>
    </row>
    <row r="7" spans="1:11" x14ac:dyDescent="0.25">
      <c r="A7" s="7" t="s">
        <v>84</v>
      </c>
      <c r="B7" s="6" t="s">
        <v>85</v>
      </c>
      <c r="C7" s="21" t="s">
        <v>86</v>
      </c>
      <c r="D7" s="4">
        <f>MATCH(C7,Rarities!$A$5:$A$10,0)-1</f>
        <v>1</v>
      </c>
      <c r="E7" s="11">
        <v>115</v>
      </c>
      <c r="F7" s="11">
        <v>20</v>
      </c>
      <c r="G7" s="11">
        <v>2</v>
      </c>
      <c r="H7" s="12">
        <v>150000</v>
      </c>
      <c r="I7" s="18">
        <f t="shared" si="0"/>
        <v>7.0352666666666668</v>
      </c>
      <c r="J7" s="19">
        <f t="shared" si="1"/>
        <v>0.14214102284680041</v>
      </c>
      <c r="K7" s="20">
        <f t="shared" si="2"/>
        <v>0.17391304347826086</v>
      </c>
    </row>
    <row r="8" spans="1:11" x14ac:dyDescent="0.25">
      <c r="A8" s="7" t="s">
        <v>87</v>
      </c>
      <c r="B8" s="6" t="s">
        <v>88</v>
      </c>
      <c r="C8" s="21" t="s">
        <v>86</v>
      </c>
      <c r="D8" s="4">
        <f>MATCH(C8,Rarities!$A$5:$A$10,0)-1</f>
        <v>1</v>
      </c>
      <c r="E8" s="11">
        <v>130</v>
      </c>
      <c r="F8" s="11">
        <v>28</v>
      </c>
      <c r="G8" s="11">
        <v>3</v>
      </c>
      <c r="H8" s="12">
        <v>60000</v>
      </c>
      <c r="I8" s="18">
        <f t="shared" si="0"/>
        <v>17.588166666666666</v>
      </c>
      <c r="J8" s="19">
        <f t="shared" si="1"/>
        <v>5.6856409138720164E-2</v>
      </c>
      <c r="K8" s="20">
        <f t="shared" si="2"/>
        <v>0.2153846153846154</v>
      </c>
    </row>
    <row r="9" spans="1:11" x14ac:dyDescent="0.25">
      <c r="A9" s="7" t="s">
        <v>89</v>
      </c>
      <c r="B9" s="6" t="s">
        <v>90</v>
      </c>
      <c r="C9" s="22" t="s">
        <v>91</v>
      </c>
      <c r="D9" s="4">
        <f>MATCH(C9,Rarities!$A$5:$A$10,0)-1</f>
        <v>2</v>
      </c>
      <c r="E9" s="11">
        <v>145</v>
      </c>
      <c r="F9" s="11">
        <v>35</v>
      </c>
      <c r="G9" s="11">
        <v>5</v>
      </c>
      <c r="H9" s="12">
        <v>30000</v>
      </c>
      <c r="I9" s="18">
        <f t="shared" si="0"/>
        <v>35.176333333333332</v>
      </c>
      <c r="J9" s="19">
        <f t="shared" si="1"/>
        <v>2.8428204569360082E-2</v>
      </c>
      <c r="K9" s="20">
        <f t="shared" si="2"/>
        <v>0.2413793103448276</v>
      </c>
    </row>
    <row r="10" spans="1:11" x14ac:dyDescent="0.25">
      <c r="A10" s="7" t="s">
        <v>92</v>
      </c>
      <c r="B10" s="6" t="s">
        <v>93</v>
      </c>
      <c r="C10" s="22" t="s">
        <v>91</v>
      </c>
      <c r="D10" s="4">
        <f>MATCH(C10,Rarities!$A$5:$A$10,0)-1</f>
        <v>2</v>
      </c>
      <c r="E10" s="11">
        <v>155</v>
      </c>
      <c r="F10" s="11">
        <v>38</v>
      </c>
      <c r="G10" s="11">
        <v>6</v>
      </c>
      <c r="H10" s="12">
        <v>22000</v>
      </c>
      <c r="I10" s="18">
        <f t="shared" si="0"/>
        <v>47.967727272727274</v>
      </c>
      <c r="J10" s="19">
        <f t="shared" si="1"/>
        <v>2.0847350017530727E-2</v>
      </c>
      <c r="K10" s="20">
        <f t="shared" si="2"/>
        <v>0.24516129032258063</v>
      </c>
    </row>
    <row r="11" spans="1:11" x14ac:dyDescent="0.25">
      <c r="A11" s="7" t="s">
        <v>94</v>
      </c>
      <c r="B11" s="6" t="s">
        <v>95</v>
      </c>
      <c r="C11" s="22" t="s">
        <v>91</v>
      </c>
      <c r="D11" s="4">
        <f>MATCH(C11,Rarities!$A$5:$A$10,0)-1</f>
        <v>2</v>
      </c>
      <c r="E11" s="11">
        <v>160</v>
      </c>
      <c r="F11" s="11">
        <v>42</v>
      </c>
      <c r="G11" s="11">
        <v>7</v>
      </c>
      <c r="H11" s="12">
        <v>20000</v>
      </c>
      <c r="I11" s="18">
        <f t="shared" si="0"/>
        <v>52.764499999999998</v>
      </c>
      <c r="J11" s="19">
        <f t="shared" si="1"/>
        <v>1.8952136379573388E-2</v>
      </c>
      <c r="K11" s="20">
        <f t="shared" si="2"/>
        <v>0.26250000000000001</v>
      </c>
    </row>
    <row r="12" spans="1:11" x14ac:dyDescent="0.25">
      <c r="A12" s="7" t="s">
        <v>96</v>
      </c>
      <c r="B12" s="6" t="s">
        <v>97</v>
      </c>
      <c r="C12" s="23" t="s">
        <v>98</v>
      </c>
      <c r="D12" s="4">
        <f>MATCH(C12,Rarities!$A$5:$A$10,0)-1</f>
        <v>3</v>
      </c>
      <c r="E12" s="11">
        <v>175</v>
      </c>
      <c r="F12" s="11">
        <v>50</v>
      </c>
      <c r="G12" s="11">
        <v>10</v>
      </c>
      <c r="H12" s="12">
        <v>7500</v>
      </c>
      <c r="I12" s="18">
        <f t="shared" si="0"/>
        <v>140.70533333333333</v>
      </c>
      <c r="J12" s="19">
        <f t="shared" si="1"/>
        <v>7.1070511423400205E-3</v>
      </c>
      <c r="K12" s="20">
        <f t="shared" si="2"/>
        <v>0.2857142857142857</v>
      </c>
    </row>
    <row r="13" spans="1:11" x14ac:dyDescent="0.25">
      <c r="A13" s="7" t="s">
        <v>99</v>
      </c>
      <c r="B13" s="6" t="s">
        <v>100</v>
      </c>
      <c r="C13" s="23" t="s">
        <v>98</v>
      </c>
      <c r="D13" s="4">
        <f>MATCH(C13,Rarities!$A$5:$A$10,0)-1</f>
        <v>3</v>
      </c>
      <c r="E13" s="11">
        <v>225</v>
      </c>
      <c r="F13" s="11">
        <v>32</v>
      </c>
      <c r="G13" s="11">
        <v>2</v>
      </c>
      <c r="H13" s="12">
        <v>5050</v>
      </c>
      <c r="I13" s="18">
        <f t="shared" si="0"/>
        <v>208.96831683168318</v>
      </c>
      <c r="J13" s="19">
        <f t="shared" si="1"/>
        <v>4.7854144358422807E-3</v>
      </c>
      <c r="K13" s="20">
        <f t="shared" si="2"/>
        <v>0.14222222222222222</v>
      </c>
    </row>
    <row r="14" spans="1:11" x14ac:dyDescent="0.25">
      <c r="A14" s="7" t="s">
        <v>101</v>
      </c>
      <c r="B14" s="6" t="s">
        <v>102</v>
      </c>
      <c r="C14" s="23" t="s">
        <v>98</v>
      </c>
      <c r="D14" s="4">
        <f>MATCH(C14,Rarities!$A$5:$A$10,0)-1</f>
        <v>3</v>
      </c>
      <c r="E14" s="11">
        <v>185</v>
      </c>
      <c r="F14" s="11">
        <v>55</v>
      </c>
      <c r="G14" s="11">
        <v>11</v>
      </c>
      <c r="H14" s="12">
        <v>5000</v>
      </c>
      <c r="I14" s="18">
        <f t="shared" si="0"/>
        <v>211.05799999999999</v>
      </c>
      <c r="J14" s="19">
        <f t="shared" si="1"/>
        <v>4.738034094893347E-3</v>
      </c>
      <c r="K14" s="20">
        <f t="shared" si="2"/>
        <v>0.29729729729729731</v>
      </c>
    </row>
    <row r="15" spans="1:11" x14ac:dyDescent="0.25">
      <c r="A15" s="7" t="s">
        <v>103</v>
      </c>
      <c r="B15" s="6" t="s">
        <v>104</v>
      </c>
      <c r="C15" s="23" t="s">
        <v>98</v>
      </c>
      <c r="D15" s="4">
        <f>MATCH(C15,Rarities!$A$5:$A$10,0)-1</f>
        <v>3</v>
      </c>
      <c r="E15" s="11">
        <v>200</v>
      </c>
      <c r="F15" s="11">
        <v>150</v>
      </c>
      <c r="G15" s="11">
        <v>125</v>
      </c>
      <c r="H15" s="12">
        <v>2100</v>
      </c>
      <c r="I15" s="18">
        <f t="shared" si="0"/>
        <v>502.51904761904763</v>
      </c>
      <c r="J15" s="19">
        <f t="shared" si="1"/>
        <v>1.9899743198552055E-3</v>
      </c>
      <c r="K15" s="20">
        <f t="shared" si="2"/>
        <v>0.75</v>
      </c>
    </row>
    <row r="16" spans="1:11" x14ac:dyDescent="0.25">
      <c r="A16" s="7" t="s">
        <v>105</v>
      </c>
      <c r="B16" s="6" t="s">
        <v>106</v>
      </c>
      <c r="C16" s="23" t="s">
        <v>98</v>
      </c>
      <c r="D16" s="4">
        <f>MATCH(C16,Rarities!$A$5:$A$10,0)-1</f>
        <v>3</v>
      </c>
      <c r="E16" s="11">
        <v>190</v>
      </c>
      <c r="F16" s="11">
        <v>60</v>
      </c>
      <c r="G16" s="11">
        <v>12</v>
      </c>
      <c r="H16" s="12">
        <v>2000</v>
      </c>
      <c r="I16" s="18">
        <f t="shared" si="0"/>
        <v>527.64499999999998</v>
      </c>
      <c r="J16" s="19">
        <f t="shared" si="1"/>
        <v>1.8952136379573388E-3</v>
      </c>
      <c r="K16" s="20">
        <f t="shared" si="2"/>
        <v>0.31578947368421051</v>
      </c>
    </row>
    <row r="17" spans="1:11" x14ac:dyDescent="0.25">
      <c r="A17" s="7" t="s">
        <v>107</v>
      </c>
      <c r="B17" s="6" t="s">
        <v>108</v>
      </c>
      <c r="C17" s="24" t="s">
        <v>109</v>
      </c>
      <c r="D17" s="4">
        <f>MATCH(C17,Rarities!$A$5:$A$10,0)-1</f>
        <v>4</v>
      </c>
      <c r="E17" s="11">
        <v>150</v>
      </c>
      <c r="F17" s="11">
        <v>40</v>
      </c>
      <c r="G17" s="11">
        <v>6</v>
      </c>
      <c r="H17" s="12">
        <v>500</v>
      </c>
      <c r="I17" s="18">
        <f t="shared" si="0"/>
        <v>2110.58</v>
      </c>
      <c r="J17" s="19">
        <f t="shared" si="1"/>
        <v>4.7380340948933471E-4</v>
      </c>
      <c r="K17" s="20">
        <f t="shared" si="2"/>
        <v>0.26666666666666666</v>
      </c>
    </row>
    <row r="18" spans="1:11" x14ac:dyDescent="0.25">
      <c r="A18" s="7" t="s">
        <v>110</v>
      </c>
      <c r="B18" s="6" t="s">
        <v>111</v>
      </c>
      <c r="C18" s="24" t="s">
        <v>109</v>
      </c>
      <c r="D18" s="4">
        <f>MATCH(C18,Rarities!$A$5:$A$10,0)-1</f>
        <v>4</v>
      </c>
      <c r="E18" s="11">
        <v>215</v>
      </c>
      <c r="F18" s="11">
        <v>80</v>
      </c>
      <c r="G18" s="11">
        <v>25</v>
      </c>
      <c r="H18" s="12">
        <v>400</v>
      </c>
      <c r="I18" s="18">
        <f t="shared" si="0"/>
        <v>2638.2249999999999</v>
      </c>
      <c r="J18" s="19">
        <f t="shared" si="1"/>
        <v>3.7904272759146777E-4</v>
      </c>
      <c r="K18" s="20">
        <f t="shared" si="2"/>
        <v>0.37209302325581395</v>
      </c>
    </row>
    <row r="19" spans="1:11" x14ac:dyDescent="0.25">
      <c r="A19" s="7" t="s">
        <v>112</v>
      </c>
      <c r="B19" s="6" t="s">
        <v>113</v>
      </c>
      <c r="C19" s="24" t="s">
        <v>109</v>
      </c>
      <c r="D19" s="4">
        <f>MATCH(C19,Rarities!$A$5:$A$10,0)-1</f>
        <v>4</v>
      </c>
      <c r="E19" s="11">
        <v>230</v>
      </c>
      <c r="F19" s="11">
        <v>85</v>
      </c>
      <c r="G19" s="11">
        <v>35</v>
      </c>
      <c r="H19" s="12">
        <v>300</v>
      </c>
      <c r="I19" s="18">
        <f t="shared" si="0"/>
        <v>3517.6333333333332</v>
      </c>
      <c r="J19" s="19">
        <f t="shared" si="1"/>
        <v>2.8428204569360083E-4</v>
      </c>
      <c r="K19" s="20">
        <f t="shared" si="2"/>
        <v>0.36956521739130432</v>
      </c>
    </row>
    <row r="20" spans="1:11" x14ac:dyDescent="0.25">
      <c r="A20" s="7" t="s">
        <v>114</v>
      </c>
      <c r="B20" s="6" t="s">
        <v>115</v>
      </c>
      <c r="C20" s="24" t="s">
        <v>109</v>
      </c>
      <c r="D20" s="4">
        <f>MATCH(C20,Rarities!$A$5:$A$10,0)-1</f>
        <v>4</v>
      </c>
      <c r="E20" s="11">
        <v>240</v>
      </c>
      <c r="F20" s="11">
        <v>95</v>
      </c>
      <c r="G20" s="11">
        <v>45</v>
      </c>
      <c r="H20" s="12">
        <v>200</v>
      </c>
      <c r="I20" s="18">
        <f t="shared" si="0"/>
        <v>5276.45</v>
      </c>
      <c r="J20" s="19">
        <f t="shared" si="1"/>
        <v>1.8952136379573388E-4</v>
      </c>
      <c r="K20" s="20">
        <f t="shared" si="2"/>
        <v>0.39583333333333331</v>
      </c>
    </row>
    <row r="21" spans="1:11" x14ac:dyDescent="0.25">
      <c r="A21" s="7" t="s">
        <v>116</v>
      </c>
      <c r="B21" s="6" t="s">
        <v>117</v>
      </c>
      <c r="C21" s="25" t="s">
        <v>118</v>
      </c>
      <c r="D21" s="4">
        <f>MATCH(C21,Rarities!$A$5:$A$10,0)-1</f>
        <v>5</v>
      </c>
      <c r="E21" s="11">
        <v>250</v>
      </c>
      <c r="F21" s="11">
        <v>100</v>
      </c>
      <c r="G21" s="11">
        <v>60</v>
      </c>
      <c r="H21" s="12">
        <v>100</v>
      </c>
      <c r="I21" s="18">
        <f t="shared" si="0"/>
        <v>10552.9</v>
      </c>
      <c r="J21" s="19">
        <f t="shared" si="1"/>
        <v>9.4760681897866942E-5</v>
      </c>
      <c r="K21" s="20">
        <f t="shared" si="2"/>
        <v>0.4</v>
      </c>
    </row>
    <row r="22" spans="1:11" x14ac:dyDescent="0.25">
      <c r="A22" s="7" t="s">
        <v>119</v>
      </c>
      <c r="B22" s="6" t="s">
        <v>120</v>
      </c>
      <c r="C22" s="25" t="s">
        <v>118</v>
      </c>
      <c r="D22" s="4">
        <f>MATCH(C22,Rarities!$A$5:$A$10,0)-1</f>
        <v>5</v>
      </c>
      <c r="E22" s="11">
        <v>260</v>
      </c>
      <c r="F22" s="11">
        <v>110</v>
      </c>
      <c r="G22" s="11">
        <v>70</v>
      </c>
      <c r="H22" s="12">
        <v>80</v>
      </c>
      <c r="I22" s="18">
        <f t="shared" si="0"/>
        <v>13191.125</v>
      </c>
      <c r="J22" s="19">
        <f t="shared" si="1"/>
        <v>7.5808545518293546E-5</v>
      </c>
      <c r="K22" s="20">
        <f t="shared" si="2"/>
        <v>0.42307692307692307</v>
      </c>
    </row>
    <row r="23" spans="1:11" x14ac:dyDescent="0.25">
      <c r="A23" s="7" t="s">
        <v>121</v>
      </c>
      <c r="B23" s="6" t="s">
        <v>122</v>
      </c>
      <c r="C23" s="25" t="s">
        <v>118</v>
      </c>
      <c r="D23" s="4">
        <f>MATCH(C23,Rarities!$A$5:$A$10,0)-1</f>
        <v>5</v>
      </c>
      <c r="E23" s="11">
        <v>270</v>
      </c>
      <c r="F23" s="11">
        <v>120</v>
      </c>
      <c r="G23" s="11">
        <v>80</v>
      </c>
      <c r="H23" s="12">
        <v>60</v>
      </c>
      <c r="I23" s="18">
        <f t="shared" si="0"/>
        <v>17588.166666666668</v>
      </c>
      <c r="J23" s="19">
        <f t="shared" si="1"/>
        <v>5.6856409138720163E-5</v>
      </c>
      <c r="K23" s="20">
        <f t="shared" si="2"/>
        <v>0.44444444444444442</v>
      </c>
    </row>
    <row r="24" spans="1:11" x14ac:dyDescent="0.25">
      <c r="A24" s="7" t="s">
        <v>123</v>
      </c>
      <c r="H24" s="26">
        <f>SUM(H5:H23)</f>
        <v>1055290</v>
      </c>
      <c r="J24" s="27">
        <f>SUM(J5:J23)</f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workbookViewId="0"/>
  </sheetViews>
  <sheetFormatPr defaultRowHeight="15" x14ac:dyDescent="0.25"/>
  <cols>
    <col min="1" max="1" width="14" customWidth="1"/>
    <col min="2" max="3" width="12" customWidth="1"/>
    <col min="4" max="5" width="13" customWidth="1"/>
    <col min="6" max="6" width="14" customWidth="1"/>
    <col min="7" max="9" width="18" customWidth="1"/>
  </cols>
  <sheetData>
    <row r="1" spans="1:9" ht="18" x14ac:dyDescent="0.25">
      <c r="A1" s="1" t="s">
        <v>124</v>
      </c>
    </row>
    <row r="2" spans="1:9" x14ac:dyDescent="0.25">
      <c r="A2" s="2" t="s">
        <v>125</v>
      </c>
    </row>
    <row r="4" spans="1:9" ht="30" customHeight="1" x14ac:dyDescent="0.25">
      <c r="A4" s="3" t="s">
        <v>70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  <c r="I4" s="3" t="s">
        <v>133</v>
      </c>
    </row>
    <row r="5" spans="1:9" x14ac:dyDescent="0.25">
      <c r="A5" s="17" t="s">
        <v>81</v>
      </c>
      <c r="B5" s="4">
        <v>0</v>
      </c>
      <c r="C5" s="4">
        <f>COUNTIF(Sheep!$C$5:$C$23,A5)</f>
        <v>2</v>
      </c>
      <c r="D5" s="14">
        <f>IF(C5=0,"-",_xlfn.MINIFS(Sheep!$H$5:$H$23,Sheep!$C$5:$C$23,A5))</f>
        <v>250000</v>
      </c>
      <c r="E5" s="14">
        <f>IF(C5=0,"-",_xlfn.MAXIFS(Sheep!$H$5:$H$23,Sheep!$C$5:$C$23,A5))</f>
        <v>500000</v>
      </c>
      <c r="F5" s="14">
        <f>SUMIF(Sheep!$C$5:$C$23,A5,Sheep!$H$5:$H$23)</f>
        <v>750000</v>
      </c>
      <c r="G5" s="18">
        <f>IF(F5=0,"-",Sheep!$H$24/F5)</f>
        <v>1.4070533333333333</v>
      </c>
      <c r="H5" s="18">
        <f>IF(C5=0,"-",Sheep!$H$24/E5)</f>
        <v>2.1105800000000001</v>
      </c>
      <c r="I5" s="18">
        <f>IF(C5=0,"-",Sheep!$H$24/D5)</f>
        <v>4.2211600000000002</v>
      </c>
    </row>
    <row r="6" spans="1:9" x14ac:dyDescent="0.25">
      <c r="A6" s="21" t="s">
        <v>86</v>
      </c>
      <c r="B6" s="4">
        <v>1</v>
      </c>
      <c r="C6" s="4">
        <f>COUNTIF(Sheep!$C$5:$C$23,A6)</f>
        <v>2</v>
      </c>
      <c r="D6" s="14">
        <f>IF(C6=0,"-",_xlfn.MINIFS(Sheep!$H$5:$H$23,Sheep!$C$5:$C$23,A6))</f>
        <v>60000</v>
      </c>
      <c r="E6" s="14">
        <f>IF(C6=0,"-",_xlfn.MAXIFS(Sheep!$H$5:$H$23,Sheep!$C$5:$C$23,A6))</f>
        <v>150000</v>
      </c>
      <c r="F6" s="14">
        <f>SUMIF(Sheep!$C$5:$C$23,A6,Sheep!$H$5:$H$23)</f>
        <v>210000</v>
      </c>
      <c r="G6" s="18">
        <f>IF(F6=0,"-",Sheep!$H$24/F6)</f>
        <v>5.0251904761904758</v>
      </c>
      <c r="H6" s="18">
        <f>IF(C6=0,"-",Sheep!$H$24/E6)</f>
        <v>7.0352666666666668</v>
      </c>
      <c r="I6" s="18">
        <f>IF(C6=0,"-",Sheep!$H$24/D6)</f>
        <v>17.588166666666666</v>
      </c>
    </row>
    <row r="7" spans="1:9" x14ac:dyDescent="0.25">
      <c r="A7" s="22" t="s">
        <v>91</v>
      </c>
      <c r="B7" s="4">
        <v>2</v>
      </c>
      <c r="C7" s="4">
        <f>COUNTIF(Sheep!$C$5:$C$23,A7)</f>
        <v>3</v>
      </c>
      <c r="D7" s="14">
        <f>IF(C7=0,"-",_xlfn.MINIFS(Sheep!$H$5:$H$23,Sheep!$C$5:$C$23,A7))</f>
        <v>20000</v>
      </c>
      <c r="E7" s="14">
        <f>IF(C7=0,"-",_xlfn.MAXIFS(Sheep!$H$5:$H$23,Sheep!$C$5:$C$23,A7))</f>
        <v>30000</v>
      </c>
      <c r="F7" s="14">
        <f>SUMIF(Sheep!$C$5:$C$23,A7,Sheep!$H$5:$H$23)</f>
        <v>72000</v>
      </c>
      <c r="G7" s="18">
        <f>IF(F7=0,"-",Sheep!$H$24/F7)</f>
        <v>14.656805555555556</v>
      </c>
      <c r="H7" s="18">
        <f>IF(C7=0,"-",Sheep!$H$24/E7)</f>
        <v>35.176333333333332</v>
      </c>
      <c r="I7" s="18">
        <f>IF(C7=0,"-",Sheep!$H$24/D7)</f>
        <v>52.764499999999998</v>
      </c>
    </row>
    <row r="8" spans="1:9" x14ac:dyDescent="0.25">
      <c r="A8" s="23" t="s">
        <v>98</v>
      </c>
      <c r="B8" s="4">
        <v>3</v>
      </c>
      <c r="C8" s="4">
        <f>COUNTIF(Sheep!$C$5:$C$23,A8)</f>
        <v>5</v>
      </c>
      <c r="D8" s="14">
        <f>IF(C8=0,"-",_xlfn.MINIFS(Sheep!$H$5:$H$23,Sheep!$C$5:$C$23,A8))</f>
        <v>2000</v>
      </c>
      <c r="E8" s="14">
        <f>IF(C8=0,"-",_xlfn.MAXIFS(Sheep!$H$5:$H$23,Sheep!$C$5:$C$23,A8))</f>
        <v>7500</v>
      </c>
      <c r="F8" s="14">
        <f>SUMIF(Sheep!$C$5:$C$23,A8,Sheep!$H$5:$H$23)</f>
        <v>21650</v>
      </c>
      <c r="G8" s="18">
        <f>IF(F8=0,"-",Sheep!$H$24/F8)</f>
        <v>48.743187066974599</v>
      </c>
      <c r="H8" s="18">
        <f>IF(C8=0,"-",Sheep!$H$24/E8)</f>
        <v>140.70533333333333</v>
      </c>
      <c r="I8" s="18">
        <f>IF(C8=0,"-",Sheep!$H$24/D8)</f>
        <v>527.64499999999998</v>
      </c>
    </row>
    <row r="9" spans="1:9" x14ac:dyDescent="0.25">
      <c r="A9" s="24" t="s">
        <v>109</v>
      </c>
      <c r="B9" s="4">
        <v>4</v>
      </c>
      <c r="C9" s="4">
        <f>COUNTIF(Sheep!$C$5:$C$23,A9)</f>
        <v>4</v>
      </c>
      <c r="D9" s="14">
        <f>IF(C9=0,"-",_xlfn.MINIFS(Sheep!$H$5:$H$23,Sheep!$C$5:$C$23,A9))</f>
        <v>200</v>
      </c>
      <c r="E9" s="14">
        <f>IF(C9=0,"-",_xlfn.MAXIFS(Sheep!$H$5:$H$23,Sheep!$C$5:$C$23,A9))</f>
        <v>500</v>
      </c>
      <c r="F9" s="14">
        <f>SUMIF(Sheep!$C$5:$C$23,A9,Sheep!$H$5:$H$23)</f>
        <v>1400</v>
      </c>
      <c r="G9" s="18">
        <f>IF(F9=0,"-",Sheep!$H$24/F9)</f>
        <v>753.77857142857147</v>
      </c>
      <c r="H9" s="18">
        <f>IF(C9=0,"-",Sheep!$H$24/E9)</f>
        <v>2110.58</v>
      </c>
      <c r="I9" s="18">
        <f>IF(C9=0,"-",Sheep!$H$24/D9)</f>
        <v>5276.45</v>
      </c>
    </row>
    <row r="10" spans="1:9" x14ac:dyDescent="0.25">
      <c r="A10" s="25" t="s">
        <v>118</v>
      </c>
      <c r="B10" s="4">
        <v>5</v>
      </c>
      <c r="C10" s="4">
        <f>COUNTIF(Sheep!$C$5:$C$23,A10)</f>
        <v>3</v>
      </c>
      <c r="D10" s="14">
        <f>IF(C10=0,"-",_xlfn.MINIFS(Sheep!$H$5:$H$23,Sheep!$C$5:$C$23,A10))</f>
        <v>60</v>
      </c>
      <c r="E10" s="14">
        <f>IF(C10=0,"-",_xlfn.MAXIFS(Sheep!$H$5:$H$23,Sheep!$C$5:$C$23,A10))</f>
        <v>100</v>
      </c>
      <c r="F10" s="14">
        <f>SUMIF(Sheep!$C$5:$C$23,A10,Sheep!$H$5:$H$23)</f>
        <v>240</v>
      </c>
      <c r="G10" s="18">
        <f>IF(F10=0,"-",Sheep!$H$24/F10)</f>
        <v>4397.041666666667</v>
      </c>
      <c r="H10" s="18">
        <f>IF(C10=0,"-",Sheep!$H$24/E10)</f>
        <v>10552.9</v>
      </c>
      <c r="I10" s="18">
        <f>IF(C10=0,"-",Sheep!$H$24/D10)</f>
        <v>17588.166666666668</v>
      </c>
    </row>
    <row r="12" spans="1:9" x14ac:dyDescent="0.25">
      <c r="A12" s="2" t="s">
        <v>134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6" width="18" customWidth="1"/>
  </cols>
  <sheetData>
    <row r="1" spans="1:6" ht="18" x14ac:dyDescent="0.25">
      <c r="A1" s="1" t="s">
        <v>135</v>
      </c>
    </row>
    <row r="2" spans="1:6" x14ac:dyDescent="0.25">
      <c r="A2" s="2" t="s">
        <v>136</v>
      </c>
    </row>
    <row r="5" spans="1:6" ht="30" customHeight="1" x14ac:dyDescent="0.25">
      <c r="A5" s="3" t="s">
        <v>137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</row>
    <row r="6" spans="1:6" x14ac:dyDescent="0.25">
      <c r="A6" s="7">
        <v>0</v>
      </c>
      <c r="B6" s="14">
        <f>60*INDEX(Rebirths!$C$6:$C$31,$A6+1)*Settings!$B$24*SUMPRODUCT(Sheep!$F$5:$F$23/INDEX('Rebirth Odds'!$C$9:$AB$27,0,$A6+1))/MAX(SUMPRODUCT(B$35:B$53/INDEX('Rebirth Odds'!$C$9:$AB$27,0,$A6+1)),Settings!$B$23)</f>
        <v>580.73235751510219</v>
      </c>
      <c r="C6" s="14">
        <f>60*INDEX(Rebirths!$C$6:$C$31,$A6+1)*Settings!$B$24*SUMPRODUCT(Sheep!$F$5:$F$23/INDEX('Rebirth Odds'!$C$9:$AB$27,0,$A6+1))/MAX(SUMPRODUCT(C$35:C$53/INDEX('Rebirth Odds'!$C$9:$AB$27,0,$A6+1)),Settings!$B$23)</f>
        <v>721.45011643564271</v>
      </c>
      <c r="D6" s="14">
        <f>60*INDEX(Rebirths!$C$6:$C$31,$A6+1)*Settings!$B$24*SUMPRODUCT(Sheep!$F$5:$F$23/INDEX('Rebirth Odds'!$C$9:$AB$27,0,$A6+1))/MAX(SUMPRODUCT(D$35:D$53/INDEX('Rebirth Odds'!$C$9:$AB$27,0,$A6+1)),Settings!$B$23)</f>
        <v>787.46505699855015</v>
      </c>
      <c r="E6" s="14">
        <f>60*INDEX(Rebirths!$C$6:$C$31,$A6+1)*Settings!$B$24*SUMPRODUCT(Sheep!$F$5:$F$23/INDEX('Rebirth Odds'!$C$9:$AB$27,0,$A6+1))/MAX(SUMPRODUCT(E$35:E$53/INDEX('Rebirth Odds'!$C$9:$AB$27,0,$A6+1)),Settings!$B$23)</f>
        <v>787.46505699855015</v>
      </c>
      <c r="F6" s="14">
        <f>60*INDEX(Rebirths!$C$6:$C$31,$A6+1)*Settings!$B$24*SUMPRODUCT(Sheep!$F$5:$F$23/INDEX('Rebirth Odds'!$C$9:$AB$27,0,$A6+1))/MAX(SUMPRODUCT(F$35:F$53/INDEX('Rebirth Odds'!$C$9:$AB$27,0,$A6+1)),Settings!$B$23)</f>
        <v>787.46505699855015</v>
      </c>
    </row>
    <row r="7" spans="1:6" x14ac:dyDescent="0.25">
      <c r="A7" s="7">
        <v>1</v>
      </c>
      <c r="B7" s="14">
        <f>60*INDEX(Rebirths!$C$6:$C$31,$A7+1)*Settings!$B$24*SUMPRODUCT(Sheep!$F$5:$F$23/INDEX('Rebirth Odds'!$C$9:$AB$27,0,$A7+1))/MAX(SUMPRODUCT(B$35:B$53/INDEX('Rebirth Odds'!$C$9:$AB$27,0,$A7+1)),Settings!$B$23)</f>
        <v>1014.4249470467314</v>
      </c>
      <c r="C7" s="14">
        <f>60*INDEX(Rebirths!$C$6:$C$31,$A7+1)*Settings!$B$24*SUMPRODUCT(Sheep!$F$5:$F$23/INDEX('Rebirth Odds'!$C$9:$AB$27,0,$A7+1))/MAX(SUMPRODUCT(C$35:C$53/INDEX('Rebirth Odds'!$C$9:$AB$27,0,$A7+1)),Settings!$B$23)</f>
        <v>1271.9277580756732</v>
      </c>
      <c r="D7" s="14">
        <f>60*INDEX(Rebirths!$C$6:$C$31,$A7+1)*Settings!$B$24*SUMPRODUCT(Sheep!$F$5:$F$23/INDEX('Rebirth Odds'!$C$9:$AB$27,0,$A7+1))/MAX(SUMPRODUCT(D$35:D$53/INDEX('Rebirth Odds'!$C$9:$AB$27,0,$A7+1)),Settings!$B$23)</f>
        <v>1540.0864720403777</v>
      </c>
      <c r="E7" s="14">
        <f>60*INDEX(Rebirths!$C$6:$C$31,$A7+1)*Settings!$B$24*SUMPRODUCT(Sheep!$F$5:$F$23/INDEX('Rebirth Odds'!$C$9:$AB$27,0,$A7+1))/MAX(SUMPRODUCT(E$35:E$53/INDEX('Rebirth Odds'!$C$9:$AB$27,0,$A7+1)),Settings!$B$23)</f>
        <v>1540.0864720403777</v>
      </c>
      <c r="F7" s="14">
        <f>60*INDEX(Rebirths!$C$6:$C$31,$A7+1)*Settings!$B$24*SUMPRODUCT(Sheep!$F$5:$F$23/INDEX('Rebirth Odds'!$C$9:$AB$27,0,$A7+1))/MAX(SUMPRODUCT(F$35:F$53/INDEX('Rebirth Odds'!$C$9:$AB$27,0,$A7+1)),Settings!$B$23)</f>
        <v>1540.0864720403777</v>
      </c>
    </row>
    <row r="8" spans="1:6" x14ac:dyDescent="0.25">
      <c r="A8" s="7">
        <v>2</v>
      </c>
      <c r="B8" s="14">
        <f>60*INDEX(Rebirths!$C$6:$C$31,$A8+1)*Settings!$B$24*SUMPRODUCT(Sheep!$F$5:$F$23/INDEX('Rebirth Odds'!$C$9:$AB$27,0,$A8+1))/MAX(SUMPRODUCT(B$35:B$53/INDEX('Rebirth Odds'!$C$9:$AB$27,0,$A8+1)),Settings!$B$23)</f>
        <v>1572.0481107204137</v>
      </c>
      <c r="C8" s="14">
        <f>60*INDEX(Rebirths!$C$6:$C$31,$A8+1)*Settings!$B$24*SUMPRODUCT(Sheep!$F$5:$F$23/INDEX('Rebirth Odds'!$C$9:$AB$27,0,$A8+1))/MAX(SUMPRODUCT(C$35:C$53/INDEX('Rebirth Odds'!$C$9:$AB$27,0,$A8+1)),Settings!$B$23)</f>
        <v>1974.7754125264946</v>
      </c>
      <c r="D8" s="14">
        <f>60*INDEX(Rebirths!$C$6:$C$31,$A8+1)*Settings!$B$24*SUMPRODUCT(Sheep!$F$5:$F$23/INDEX('Rebirth Odds'!$C$9:$AB$27,0,$A8+1))/MAX(SUMPRODUCT(D$35:D$53/INDEX('Rebirth Odds'!$C$9:$AB$27,0,$A8+1)),Settings!$B$23)</f>
        <v>2450.233211334059</v>
      </c>
      <c r="E8" s="14">
        <f>60*INDEX(Rebirths!$C$6:$C$31,$A8+1)*Settings!$B$24*SUMPRODUCT(Sheep!$F$5:$F$23/INDEX('Rebirth Odds'!$C$9:$AB$27,0,$A8+1))/MAX(SUMPRODUCT(E$35:E$53/INDEX('Rebirth Odds'!$C$9:$AB$27,0,$A8+1)),Settings!$B$23)</f>
        <v>2450.233211334059</v>
      </c>
      <c r="F8" s="14">
        <f>60*INDEX(Rebirths!$C$6:$C$31,$A8+1)*Settings!$B$24*SUMPRODUCT(Sheep!$F$5:$F$23/INDEX('Rebirth Odds'!$C$9:$AB$27,0,$A8+1))/MAX(SUMPRODUCT(F$35:F$53/INDEX('Rebirth Odds'!$C$9:$AB$27,0,$A8+1)),Settings!$B$23)</f>
        <v>2450.233211334059</v>
      </c>
    </row>
    <row r="9" spans="1:6" x14ac:dyDescent="0.25">
      <c r="A9" s="7">
        <v>3</v>
      </c>
      <c r="B9" s="14">
        <f>60*INDEX(Rebirths!$C$6:$C$31,$A9+1)*Settings!$B$24*SUMPRODUCT(Sheep!$F$5:$F$23/INDEX('Rebirth Odds'!$C$9:$AB$27,0,$A9+1))/MAX(SUMPRODUCT(B$35:B$53/INDEX('Rebirth Odds'!$C$9:$AB$27,0,$A9+1)),Settings!$B$23)</f>
        <v>2410.508203876625</v>
      </c>
      <c r="C9" s="14">
        <f>60*INDEX(Rebirths!$C$6:$C$31,$A9+1)*Settings!$B$24*SUMPRODUCT(Sheep!$F$5:$F$23/INDEX('Rebirth Odds'!$C$9:$AB$27,0,$A9+1))/MAX(SUMPRODUCT(C$35:C$53/INDEX('Rebirth Odds'!$C$9:$AB$27,0,$A9+1)),Settings!$B$23)</f>
        <v>3031.7812853783971</v>
      </c>
      <c r="D9" s="14">
        <f>60*INDEX(Rebirths!$C$6:$C$31,$A9+1)*Settings!$B$24*SUMPRODUCT(Sheep!$F$5:$F$23/INDEX('Rebirth Odds'!$C$9:$AB$27,0,$A9+1))/MAX(SUMPRODUCT(D$35:D$53/INDEX('Rebirth Odds'!$C$9:$AB$27,0,$A9+1)),Settings!$B$23)</f>
        <v>3826.0879517414855</v>
      </c>
      <c r="E9" s="14">
        <f>60*INDEX(Rebirths!$C$6:$C$31,$A9+1)*Settings!$B$24*SUMPRODUCT(Sheep!$F$5:$F$23/INDEX('Rebirth Odds'!$C$9:$AB$27,0,$A9+1))/MAX(SUMPRODUCT(E$35:E$53/INDEX('Rebirth Odds'!$C$9:$AB$27,0,$A9+1)),Settings!$B$23)</f>
        <v>3826.0879517414855</v>
      </c>
      <c r="F9" s="14">
        <f>60*INDEX(Rebirths!$C$6:$C$31,$A9+1)*Settings!$B$24*SUMPRODUCT(Sheep!$F$5:$F$23/INDEX('Rebirth Odds'!$C$9:$AB$27,0,$A9+1))/MAX(SUMPRODUCT(F$35:F$53/INDEX('Rebirth Odds'!$C$9:$AB$27,0,$A9+1)),Settings!$B$23)</f>
        <v>3826.0879517414855</v>
      </c>
    </row>
    <row r="10" spans="1:6" x14ac:dyDescent="0.25">
      <c r="A10" s="7">
        <v>4</v>
      </c>
      <c r="B10" s="14">
        <f>60*INDEX(Rebirths!$C$6:$C$31,$A10+1)*Settings!$B$24*SUMPRODUCT(Sheep!$F$5:$F$23/INDEX('Rebirth Odds'!$C$9:$AB$27,0,$A10+1))/MAX(SUMPRODUCT(B$35:B$53/INDEX('Rebirth Odds'!$C$9:$AB$27,0,$A10+1)),Settings!$B$23)</f>
        <v>3680.0335282982369</v>
      </c>
      <c r="C10" s="14">
        <f>60*INDEX(Rebirths!$C$6:$C$31,$A10+1)*Settings!$B$24*SUMPRODUCT(Sheep!$F$5:$F$23/INDEX('Rebirth Odds'!$C$9:$AB$27,0,$A10+1))/MAX(SUMPRODUCT(C$35:C$53/INDEX('Rebirth Odds'!$C$9:$AB$27,0,$A10+1)),Settings!$B$23)</f>
        <v>4633.0415421762173</v>
      </c>
      <c r="D10" s="14">
        <f>60*INDEX(Rebirths!$C$6:$C$31,$A10+1)*Settings!$B$24*SUMPRODUCT(Sheep!$F$5:$F$23/INDEX('Rebirth Odds'!$C$9:$AB$27,0,$A10+1))/MAX(SUMPRODUCT(D$35:D$53/INDEX('Rebirth Odds'!$C$9:$AB$27,0,$A10+1)),Settings!$B$23)</f>
        <v>5883.631188592688</v>
      </c>
      <c r="E10" s="14">
        <f>60*INDEX(Rebirths!$C$6:$C$31,$A10+1)*Settings!$B$24*SUMPRODUCT(Sheep!$F$5:$F$23/INDEX('Rebirth Odds'!$C$9:$AB$27,0,$A10+1))/MAX(SUMPRODUCT(E$35:E$53/INDEX('Rebirth Odds'!$C$9:$AB$27,0,$A10+1)),Settings!$B$23)</f>
        <v>5928.5473209534721</v>
      </c>
      <c r="F10" s="14">
        <f>60*INDEX(Rebirths!$C$6:$C$31,$A10+1)*Settings!$B$24*SUMPRODUCT(Sheep!$F$5:$F$23/INDEX('Rebirth Odds'!$C$9:$AB$27,0,$A10+1))/MAX(SUMPRODUCT(F$35:F$53/INDEX('Rebirth Odds'!$C$9:$AB$27,0,$A10+1)),Settings!$B$23)</f>
        <v>5928.5473209534721</v>
      </c>
    </row>
    <row r="11" spans="1:6" x14ac:dyDescent="0.25">
      <c r="A11" s="7">
        <v>5</v>
      </c>
      <c r="B11" s="14">
        <f>60*INDEX(Rebirths!$C$6:$C$31,$A11+1)*Settings!$B$24*SUMPRODUCT(Sheep!$F$5:$F$23/INDEX('Rebirth Odds'!$C$9:$AB$27,0,$A11+1))/MAX(SUMPRODUCT(B$35:B$53/INDEX('Rebirth Odds'!$C$9:$AB$27,0,$A11+1)),Settings!$B$23)</f>
        <v>5662.9759161945049</v>
      </c>
      <c r="C11" s="14">
        <f>60*INDEX(Rebirths!$C$6:$C$31,$A11+1)*Settings!$B$24*SUMPRODUCT(Sheep!$F$5:$F$23/INDEX('Rebirth Odds'!$C$9:$AB$27,0,$A11+1))/MAX(SUMPRODUCT(C$35:C$53/INDEX('Rebirth Odds'!$C$9:$AB$27,0,$A11+1)),Settings!$B$23)</f>
        <v>7139.4872556797854</v>
      </c>
      <c r="D11" s="14">
        <f>60*INDEX(Rebirths!$C$6:$C$31,$A11+1)*Settings!$B$24*SUMPRODUCT(Sheep!$F$5:$F$23/INDEX('Rebirth Odds'!$C$9:$AB$27,0,$A11+1))/MAX(SUMPRODUCT(D$35:D$53/INDEX('Rebirth Odds'!$C$9:$AB$27,0,$A11+1)),Settings!$B$23)</f>
        <v>9059.4704476881179</v>
      </c>
      <c r="E11" s="14">
        <f>60*INDEX(Rebirths!$C$6:$C$31,$A11+1)*Settings!$B$24*SUMPRODUCT(Sheep!$F$5:$F$23/INDEX('Rebirth Odds'!$C$9:$AB$27,0,$A11+1))/MAX(SUMPRODUCT(E$35:E$53/INDEX('Rebirth Odds'!$C$9:$AB$27,0,$A11+1)),Settings!$B$23)</f>
        <v>9325.7626252277387</v>
      </c>
      <c r="F11" s="14">
        <f>60*INDEX(Rebirths!$C$6:$C$31,$A11+1)*Settings!$B$24*SUMPRODUCT(Sheep!$F$5:$F$23/INDEX('Rebirth Odds'!$C$9:$AB$27,0,$A11+1))/MAX(SUMPRODUCT(F$35:F$53/INDEX('Rebirth Odds'!$C$9:$AB$27,0,$A11+1)),Settings!$B$23)</f>
        <v>9325.7626252277387</v>
      </c>
    </row>
    <row r="12" spans="1:6" x14ac:dyDescent="0.25">
      <c r="A12" s="7">
        <v>6</v>
      </c>
      <c r="B12" s="14">
        <f>60*INDEX(Rebirths!$C$6:$C$31,$A12+1)*Settings!$B$24*SUMPRODUCT(Sheep!$F$5:$F$23/INDEX('Rebirth Odds'!$C$9:$AB$27,0,$A12+1))/MAX(SUMPRODUCT(B$35:B$53/INDEX('Rebirth Odds'!$C$9:$AB$27,0,$A12+1)),Settings!$B$23)</f>
        <v>8584.1469884801263</v>
      </c>
      <c r="C12" s="14">
        <f>60*INDEX(Rebirths!$C$6:$C$31,$A12+1)*Settings!$B$24*SUMPRODUCT(Sheep!$F$5:$F$23/INDEX('Rebirth Odds'!$C$9:$AB$27,0,$A12+1))/MAX(SUMPRODUCT(C$35:C$53/INDEX('Rebirth Odds'!$C$9:$AB$27,0,$A12+1)),Settings!$B$23)</f>
        <v>10828.441476146891</v>
      </c>
      <c r="D12" s="14">
        <f>60*INDEX(Rebirths!$C$6:$C$31,$A12+1)*Settings!$B$24*SUMPRODUCT(Sheep!$F$5:$F$23/INDEX('Rebirth Odds'!$C$9:$AB$27,0,$A12+1))/MAX(SUMPRODUCT(D$35:D$53/INDEX('Rebirth Odds'!$C$9:$AB$27,0,$A12+1)),Settings!$B$23)</f>
        <v>13736.324291625284</v>
      </c>
      <c r="E12" s="14">
        <f>60*INDEX(Rebirths!$C$6:$C$31,$A12+1)*Settings!$B$24*SUMPRODUCT(Sheep!$F$5:$F$23/INDEX('Rebirth Odds'!$C$9:$AB$27,0,$A12+1))/MAX(SUMPRODUCT(E$35:E$53/INDEX('Rebirth Odds'!$C$9:$AB$27,0,$A12+1)),Settings!$B$23)</f>
        <v>14266.596077870119</v>
      </c>
      <c r="F12" s="14">
        <f>60*INDEX(Rebirths!$C$6:$C$31,$A12+1)*Settings!$B$24*SUMPRODUCT(Sheep!$F$5:$F$23/INDEX('Rebirth Odds'!$C$9:$AB$27,0,$A12+1))/MAX(SUMPRODUCT(F$35:F$53/INDEX('Rebirth Odds'!$C$9:$AB$27,0,$A12+1)),Settings!$B$23)</f>
        <v>14266.596077870119</v>
      </c>
    </row>
    <row r="13" spans="1:6" x14ac:dyDescent="0.25">
      <c r="A13" s="7">
        <v>7</v>
      </c>
      <c r="B13" s="14">
        <f>60*INDEX(Rebirths!$C$6:$C$31,$A13+1)*Settings!$B$24*SUMPRODUCT(Sheep!$F$5:$F$23/INDEX('Rebirth Odds'!$C$9:$AB$27,0,$A13+1))/MAX(SUMPRODUCT(B$35:B$53/INDEX('Rebirth Odds'!$C$9:$AB$27,0,$A13+1)),Settings!$B$23)</f>
        <v>13014.004085793196</v>
      </c>
      <c r="C13" s="14">
        <f>60*INDEX(Rebirths!$C$6:$C$31,$A13+1)*Settings!$B$24*SUMPRODUCT(Sheep!$F$5:$F$23/INDEX('Rebirth Odds'!$C$9:$AB$27,0,$A13+1))/MAX(SUMPRODUCT(C$35:C$53/INDEX('Rebirth Odds'!$C$9:$AB$27,0,$A13+1)),Settings!$B$23)</f>
        <v>16425.837530043809</v>
      </c>
      <c r="D13" s="14">
        <f>60*INDEX(Rebirths!$C$6:$C$31,$A13+1)*Settings!$B$24*SUMPRODUCT(Sheep!$F$5:$F$23/INDEX('Rebirth Odds'!$C$9:$AB$27,0,$A13+1))/MAX(SUMPRODUCT(D$35:D$53/INDEX('Rebirth Odds'!$C$9:$AB$27,0,$A13+1)),Settings!$B$23)</f>
        <v>20830.756858415014</v>
      </c>
      <c r="E13" s="14">
        <f>60*INDEX(Rebirths!$C$6:$C$31,$A13+1)*Settings!$B$24*SUMPRODUCT(Sheep!$F$5:$F$23/INDEX('Rebirth Odds'!$C$9:$AB$27,0,$A13+1))/MAX(SUMPRODUCT(E$35:E$53/INDEX('Rebirth Odds'!$C$9:$AB$27,0,$A13+1)),Settings!$B$23)</f>
        <v>21832.729159902454</v>
      </c>
      <c r="F13" s="14">
        <f>60*INDEX(Rebirths!$C$6:$C$31,$A13+1)*Settings!$B$24*SUMPRODUCT(Sheep!$F$5:$F$23/INDEX('Rebirth Odds'!$C$9:$AB$27,0,$A13+1))/MAX(SUMPRODUCT(F$35:F$53/INDEX('Rebirth Odds'!$C$9:$AB$27,0,$A13+1)),Settings!$B$23)</f>
        <v>21832.729159902454</v>
      </c>
    </row>
    <row r="14" spans="1:6" x14ac:dyDescent="0.25">
      <c r="A14" s="7">
        <v>8</v>
      </c>
      <c r="B14" s="14">
        <f>60*INDEX(Rebirths!$C$6:$C$31,$A14+1)*Settings!$B$24*SUMPRODUCT(Sheep!$F$5:$F$23/INDEX('Rebirth Odds'!$C$9:$AB$27,0,$A14+1))/MAX(SUMPRODUCT(B$35:B$53/INDEX('Rebirth Odds'!$C$9:$AB$27,0,$A14+1)),Settings!$B$23)</f>
        <v>19730.303550558605</v>
      </c>
      <c r="C14" s="14">
        <f>60*INDEX(Rebirths!$C$6:$C$31,$A14+1)*Settings!$B$24*SUMPRODUCT(Sheep!$F$5:$F$23/INDEX('Rebirth Odds'!$C$9:$AB$27,0,$A14+1))/MAX(SUMPRODUCT(C$35:C$53/INDEX('Rebirth Odds'!$C$9:$AB$27,0,$A14+1)),Settings!$B$23)</f>
        <v>24917.041210660442</v>
      </c>
      <c r="D14" s="14">
        <f>60*INDEX(Rebirths!$C$6:$C$31,$A14+1)*Settings!$B$24*SUMPRODUCT(Sheep!$F$5:$F$23/INDEX('Rebirth Odds'!$C$9:$AB$27,0,$A14+1))/MAX(SUMPRODUCT(D$35:D$53/INDEX('Rebirth Odds'!$C$9:$AB$27,0,$A14+1)),Settings!$B$23)</f>
        <v>31590.223989509741</v>
      </c>
      <c r="E14" s="14">
        <f>60*INDEX(Rebirths!$C$6:$C$31,$A14+1)*Settings!$B$24*SUMPRODUCT(Sheep!$F$5:$F$23/INDEX('Rebirth Odds'!$C$9:$AB$27,0,$A14+1))/MAX(SUMPRODUCT(E$35:E$53/INDEX('Rebirth Odds'!$C$9:$AB$27,0,$A14+1)),Settings!$B$23)</f>
        <v>33415.595146091342</v>
      </c>
      <c r="F14" s="14">
        <f>60*INDEX(Rebirths!$C$6:$C$31,$A14+1)*Settings!$B$24*SUMPRODUCT(Sheep!$F$5:$F$23/INDEX('Rebirth Odds'!$C$9:$AB$27,0,$A14+1))/MAX(SUMPRODUCT(F$35:F$53/INDEX('Rebirth Odds'!$C$9:$AB$27,0,$A14+1)),Settings!$B$23)</f>
        <v>33415.595146091342</v>
      </c>
    </row>
    <row r="15" spans="1:6" x14ac:dyDescent="0.25">
      <c r="A15" s="7">
        <v>9</v>
      </c>
      <c r="B15" s="14">
        <f>60*INDEX(Rebirths!$C$6:$C$31,$A15+1)*Settings!$B$24*SUMPRODUCT(Sheep!$F$5:$F$23/INDEX('Rebirth Odds'!$C$9:$AB$27,0,$A15+1))/MAX(SUMPRODUCT(B$35:B$53/INDEX('Rebirth Odds'!$C$9:$AB$27,0,$A15+1)),Settings!$B$23)</f>
        <v>29910.872422652563</v>
      </c>
      <c r="C15" s="14">
        <f>60*INDEX(Rebirths!$C$6:$C$31,$A15+1)*Settings!$B$24*SUMPRODUCT(Sheep!$F$5:$F$23/INDEX('Rebirth Odds'!$C$9:$AB$27,0,$A15+1))/MAX(SUMPRODUCT(C$35:C$53/INDEX('Rebirth Odds'!$C$9:$AB$27,0,$A15+1)),Settings!$B$23)</f>
        <v>37794.989769738007</v>
      </c>
      <c r="D15" s="14">
        <f>60*INDEX(Rebirths!$C$6:$C$31,$A15+1)*Settings!$B$24*SUMPRODUCT(Sheep!$F$5:$F$23/INDEX('Rebirth Odds'!$C$9:$AB$27,0,$A15+1))/MAX(SUMPRODUCT(D$35:D$53/INDEX('Rebirth Odds'!$C$9:$AB$27,0,$A15+1)),Settings!$B$23)</f>
        <v>47904.454648758423</v>
      </c>
      <c r="E15" s="14">
        <f>60*INDEX(Rebirths!$C$6:$C$31,$A15+1)*Settings!$B$24*SUMPRODUCT(Sheep!$F$5:$F$23/INDEX('Rebirth Odds'!$C$9:$AB$27,0,$A15+1))/MAX(SUMPRODUCT(E$35:E$53/INDEX('Rebirth Odds'!$C$9:$AB$27,0,$A15+1)),Settings!$B$23)</f>
        <v>51141.56061490783</v>
      </c>
      <c r="F15" s="14">
        <f>60*INDEX(Rebirths!$C$6:$C$31,$A15+1)*Settings!$B$24*SUMPRODUCT(Sheep!$F$5:$F$23/INDEX('Rebirth Odds'!$C$9:$AB$27,0,$A15+1))/MAX(SUMPRODUCT(F$35:F$53/INDEX('Rebirth Odds'!$C$9:$AB$27,0,$A15+1)),Settings!$B$23)</f>
        <v>51141.56061490783</v>
      </c>
    </row>
    <row r="16" spans="1:6" x14ac:dyDescent="0.25">
      <c r="A16" s="7">
        <v>10</v>
      </c>
      <c r="B16" s="14">
        <f>60*INDEX(Rebirths!$C$6:$C$31,$A16+1)*Settings!$B$24*SUMPRODUCT(Sheep!$F$5:$F$23/INDEX('Rebirth Odds'!$C$9:$AB$27,0,$A16+1))/MAX(SUMPRODUCT(B$35:B$53/INDEX('Rebirth Odds'!$C$9:$AB$27,0,$A16+1)),Settings!$B$23)</f>
        <v>45679.104553466961</v>
      </c>
      <c r="C16" s="14">
        <f>60*INDEX(Rebirths!$C$6:$C$31,$A16+1)*Settings!$B$24*SUMPRODUCT(Sheep!$F$5:$F$23/INDEX('Rebirth Odds'!$C$9:$AB$27,0,$A16+1))/MAX(SUMPRODUCT(C$35:C$53/INDEX('Rebirth Odds'!$C$9:$AB$27,0,$A16+1)),Settings!$B$23)</f>
        <v>57773.417344645939</v>
      </c>
      <c r="D16" s="14">
        <f>60*INDEX(Rebirths!$C$6:$C$31,$A16+1)*Settings!$B$24*SUMPRODUCT(Sheep!$F$5:$F$23/INDEX('Rebirth Odds'!$C$9:$AB$27,0,$A16+1))/MAX(SUMPRODUCT(D$35:D$53/INDEX('Rebirth Odds'!$C$9:$AB$27,0,$A16+1)),Settings!$B$23)</f>
        <v>73196.361525135217</v>
      </c>
      <c r="E16" s="14">
        <f>60*INDEX(Rebirths!$C$6:$C$31,$A16+1)*Settings!$B$24*SUMPRODUCT(Sheep!$F$5:$F$23/INDEX('Rebirth Odds'!$C$9:$AB$27,0,$A16+1))/MAX(SUMPRODUCT(E$35:E$53/INDEX('Rebirth Odds'!$C$9:$AB$27,0,$A16+1)),Settings!$B$23)</f>
        <v>79384.322184843724</v>
      </c>
      <c r="F16" s="14">
        <f>60*INDEX(Rebirths!$C$6:$C$31,$A16+1)*Settings!$B$24*SUMPRODUCT(Sheep!$F$5:$F$23/INDEX('Rebirth Odds'!$C$9:$AB$27,0,$A16+1))/MAX(SUMPRODUCT(F$35:F$53/INDEX('Rebirth Odds'!$C$9:$AB$27,0,$A16+1)),Settings!$B$23)</f>
        <v>79384.322184843724</v>
      </c>
    </row>
    <row r="17" spans="1:6" x14ac:dyDescent="0.25">
      <c r="A17" s="7">
        <v>11</v>
      </c>
      <c r="B17" s="14">
        <f>60*INDEX(Rebirths!$C$6:$C$31,$A17+1)*Settings!$B$24*SUMPRODUCT(Sheep!$F$5:$F$23/INDEX('Rebirth Odds'!$C$9:$AB$27,0,$A17+1))/MAX(SUMPRODUCT(B$35:B$53/INDEX('Rebirth Odds'!$C$9:$AB$27,0,$A17+1)),Settings!$B$23)</f>
        <v>69073.287676267806</v>
      </c>
      <c r="C17" s="14">
        <f>60*INDEX(Rebirths!$C$6:$C$31,$A17+1)*Settings!$B$24*SUMPRODUCT(Sheep!$F$5:$F$23/INDEX('Rebirth Odds'!$C$9:$AB$27,0,$A17+1))/MAX(SUMPRODUCT(C$35:C$53/INDEX('Rebirth Odds'!$C$9:$AB$27,0,$A17+1)),Settings!$B$23)</f>
        <v>87397.769768554048</v>
      </c>
      <c r="D17" s="14">
        <f>60*INDEX(Rebirths!$C$6:$C$31,$A17+1)*Settings!$B$24*SUMPRODUCT(Sheep!$F$5:$F$23/INDEX('Rebirth Odds'!$C$9:$AB$27,0,$A17+1))/MAX(SUMPRODUCT(D$35:D$53/INDEX('Rebirth Odds'!$C$9:$AB$27,0,$A17+1)),Settings!$B$23)</f>
        <v>110709.92499929856</v>
      </c>
      <c r="E17" s="14">
        <f>60*INDEX(Rebirths!$C$6:$C$31,$A17+1)*Settings!$B$24*SUMPRODUCT(Sheep!$F$5:$F$23/INDEX('Rebirth Odds'!$C$9:$AB$27,0,$A17+1))/MAX(SUMPRODUCT(E$35:E$53/INDEX('Rebirth Odds'!$C$9:$AB$27,0,$A17+1)),Settings!$B$23)</f>
        <v>120930.06893392722</v>
      </c>
      <c r="F17" s="14">
        <f>60*INDEX(Rebirths!$C$6:$C$31,$A17+1)*Settings!$B$24*SUMPRODUCT(Sheep!$F$5:$F$23/INDEX('Rebirth Odds'!$C$9:$AB$27,0,$A17+1))/MAX(SUMPRODUCT(F$35:F$53/INDEX('Rebirth Odds'!$C$9:$AB$27,0,$A17+1)),Settings!$B$23)</f>
        <v>120930.06893392722</v>
      </c>
    </row>
    <row r="18" spans="1:6" x14ac:dyDescent="0.25">
      <c r="A18" s="7">
        <v>12</v>
      </c>
      <c r="B18" s="14">
        <f>60*INDEX(Rebirths!$C$6:$C$31,$A18+1)*Settings!$B$24*SUMPRODUCT(Sheep!$F$5:$F$23/INDEX('Rebirth Odds'!$C$9:$AB$27,0,$A18+1))/MAX(SUMPRODUCT(B$35:B$53/INDEX('Rebirth Odds'!$C$9:$AB$27,0,$A18+1)),Settings!$B$23)</f>
        <v>104489.69389619875</v>
      </c>
      <c r="C18" s="14">
        <f>60*INDEX(Rebirths!$C$6:$C$31,$A18+1)*Settings!$B$24*SUMPRODUCT(Sheep!$F$5:$F$23/INDEX('Rebirth Odds'!$C$9:$AB$27,0,$A18+1))/MAX(SUMPRODUCT(C$35:C$53/INDEX('Rebirth Odds'!$C$9:$AB$27,0,$A18+1)),Settings!$B$23)</f>
        <v>132266.73241881566</v>
      </c>
      <c r="D18" s="14">
        <f>60*INDEX(Rebirths!$C$6:$C$31,$A18+1)*Settings!$B$24*SUMPRODUCT(Sheep!$F$5:$F$23/INDEX('Rebirth Odds'!$C$9:$AB$27,0,$A18+1))/MAX(SUMPRODUCT(D$35:D$53/INDEX('Rebirth Odds'!$C$9:$AB$27,0,$A18+1)),Settings!$B$23)</f>
        <v>167518.11111823466</v>
      </c>
      <c r="E18" s="14">
        <f>60*INDEX(Rebirths!$C$6:$C$31,$A18+1)*Settings!$B$24*SUMPRODUCT(Sheep!$F$5:$F$23/INDEX('Rebirth Odds'!$C$9:$AB$27,0,$A18+1))/MAX(SUMPRODUCT(E$35:E$53/INDEX('Rebirth Odds'!$C$9:$AB$27,0,$A18+1)),Settings!$B$23)</f>
        <v>184366.16371063946</v>
      </c>
      <c r="F18" s="14">
        <f>60*INDEX(Rebirths!$C$6:$C$31,$A18+1)*Settings!$B$24*SUMPRODUCT(Sheep!$F$5:$F$23/INDEX('Rebirth Odds'!$C$9:$AB$27,0,$A18+1))/MAX(SUMPRODUCT(F$35:F$53/INDEX('Rebirth Odds'!$C$9:$AB$27,0,$A18+1)),Settings!$B$23)</f>
        <v>184366.16371063946</v>
      </c>
    </row>
    <row r="19" spans="1:6" x14ac:dyDescent="0.25">
      <c r="A19" s="7">
        <v>13</v>
      </c>
      <c r="B19" s="14">
        <f>60*INDEX(Rebirths!$C$6:$C$31,$A19+1)*Settings!$B$24*SUMPRODUCT(Sheep!$F$5:$F$23/INDEX('Rebirth Odds'!$C$9:$AB$27,0,$A19+1))/MAX(SUMPRODUCT(B$35:B$53/INDEX('Rebirth Odds'!$C$9:$AB$27,0,$A19+1)),Settings!$B$23)</f>
        <v>158103.12759377019</v>
      </c>
      <c r="C19" s="14">
        <f>60*INDEX(Rebirths!$C$6:$C$31,$A19+1)*Settings!$B$24*SUMPRODUCT(Sheep!$F$5:$F$23/INDEX('Rebirth Odds'!$C$9:$AB$27,0,$A19+1))/MAX(SUMPRODUCT(C$35:C$53/INDEX('Rebirth Odds'!$C$9:$AB$27,0,$A19+1)),Settings!$B$23)</f>
        <v>200220.3072124008</v>
      </c>
      <c r="D19" s="14">
        <f>60*INDEX(Rebirths!$C$6:$C$31,$A19+1)*Settings!$B$24*SUMPRODUCT(Sheep!$F$5:$F$23/INDEX('Rebirth Odds'!$C$9:$AB$27,0,$A19+1))/MAX(SUMPRODUCT(D$35:D$53/INDEX('Rebirth Odds'!$C$9:$AB$27,0,$A19+1)),Settings!$B$23)</f>
        <v>253539.83993922139</v>
      </c>
      <c r="E19" s="14">
        <f>60*INDEX(Rebirths!$C$6:$C$31,$A19+1)*Settings!$B$24*SUMPRODUCT(Sheep!$F$5:$F$23/INDEX('Rebirth Odds'!$C$9:$AB$27,0,$A19+1))/MAX(SUMPRODUCT(E$35:E$53/INDEX('Rebirth Odds'!$C$9:$AB$27,0,$A19+1)),Settings!$B$23)</f>
        <v>281221.33118161949</v>
      </c>
      <c r="F19" s="14">
        <f>60*INDEX(Rebirths!$C$6:$C$31,$A19+1)*Settings!$B$24*SUMPRODUCT(Sheep!$F$5:$F$23/INDEX('Rebirth Odds'!$C$9:$AB$27,0,$A19+1))/MAX(SUMPRODUCT(F$35:F$53/INDEX('Rebirth Odds'!$C$9:$AB$27,0,$A19+1)),Settings!$B$23)</f>
        <v>281221.33118161949</v>
      </c>
    </row>
    <row r="20" spans="1:6" x14ac:dyDescent="0.25">
      <c r="A20" s="7">
        <v>14</v>
      </c>
      <c r="B20" s="14">
        <f>60*INDEX(Rebirths!$C$6:$C$31,$A20+1)*Settings!$B$24*SUMPRODUCT(Sheep!$F$5:$F$23/INDEX('Rebirth Odds'!$C$9:$AB$27,0,$A20+1))/MAX(SUMPRODUCT(B$35:B$53/INDEX('Rebirth Odds'!$C$9:$AB$27,0,$A20+1)),Settings!$B$23)</f>
        <v>239250.92114422578</v>
      </c>
      <c r="C20" s="14">
        <f>60*INDEX(Rebirths!$C$6:$C$31,$A20+1)*Settings!$B$24*SUMPRODUCT(Sheep!$F$5:$F$23/INDEX('Rebirth Odds'!$C$9:$AB$27,0,$A20+1))/MAX(SUMPRODUCT(C$35:C$53/INDEX('Rebirth Odds'!$C$9:$AB$27,0,$A20+1)),Settings!$B$23)</f>
        <v>303118.37379377597</v>
      </c>
      <c r="D20" s="14">
        <f>60*INDEX(Rebirths!$C$6:$C$31,$A20+1)*Settings!$B$24*SUMPRODUCT(Sheep!$F$5:$F$23/INDEX('Rebirth Odds'!$C$9:$AB$27,0,$A20+1))/MAX(SUMPRODUCT(D$35:D$53/INDEX('Rebirth Odds'!$C$9:$AB$27,0,$A20+1)),Settings!$B$23)</f>
        <v>383778.55434209213</v>
      </c>
      <c r="E20" s="14">
        <f>60*INDEX(Rebirths!$C$6:$C$31,$A20+1)*Settings!$B$24*SUMPRODUCT(Sheep!$F$5:$F$23/INDEX('Rebirth Odds'!$C$9:$AB$27,0,$A20+1))/MAX(SUMPRODUCT(E$35:E$53/INDEX('Rebirth Odds'!$C$9:$AB$27,0,$A20+1)),Settings!$B$23)</f>
        <v>429067.04219720908</v>
      </c>
      <c r="F20" s="14">
        <f>60*INDEX(Rebirths!$C$6:$C$31,$A20+1)*Settings!$B$24*SUMPRODUCT(Sheep!$F$5:$F$23/INDEX('Rebirth Odds'!$C$9:$AB$27,0,$A20+1))/MAX(SUMPRODUCT(F$35:F$53/INDEX('Rebirth Odds'!$C$9:$AB$27,0,$A20+1)),Settings!$B$23)</f>
        <v>429067.04219720908</v>
      </c>
    </row>
    <row r="21" spans="1:6" x14ac:dyDescent="0.25">
      <c r="A21" s="7">
        <v>15</v>
      </c>
      <c r="B21" s="14">
        <f>60*INDEX(Rebirths!$C$6:$C$31,$A21+1)*Settings!$B$24*SUMPRODUCT(Sheep!$F$5:$F$23/INDEX('Rebirth Odds'!$C$9:$AB$27,0,$A21+1))/MAX(SUMPRODUCT(B$35:B$53/INDEX('Rebirth Odds'!$C$9:$AB$27,0,$A21+1)),Settings!$B$23)</f>
        <v>364364.61135920137</v>
      </c>
      <c r="C21" s="14">
        <f>60*INDEX(Rebirths!$C$6:$C$31,$A21+1)*Settings!$B$24*SUMPRODUCT(Sheep!$F$5:$F$23/INDEX('Rebirth Odds'!$C$9:$AB$27,0,$A21+1))/MAX(SUMPRODUCT(C$35:C$53/INDEX('Rebirth Odds'!$C$9:$AB$27,0,$A21+1)),Settings!$B$23)</f>
        <v>461976.28477927239</v>
      </c>
      <c r="D21" s="14">
        <f>60*INDEX(Rebirths!$C$6:$C$31,$A21+1)*Settings!$B$24*SUMPRODUCT(Sheep!$F$5:$F$23/INDEX('Rebirth Odds'!$C$9:$AB$27,0,$A21+1))/MAX(SUMPRODUCT(D$35:D$53/INDEX('Rebirth Odds'!$C$9:$AB$27,0,$A21+1)),Settings!$B$23)</f>
        <v>584760.83636047202</v>
      </c>
      <c r="E21" s="14">
        <f>60*INDEX(Rebirths!$C$6:$C$31,$A21+1)*Settings!$B$24*SUMPRODUCT(Sheep!$F$5:$F$23/INDEX('Rebirth Odds'!$C$9:$AB$27,0,$A21+1))/MAX(SUMPRODUCT(E$35:E$53/INDEX('Rebirth Odds'!$C$9:$AB$27,0,$A21+1)),Settings!$B$23)</f>
        <v>662828.33143952629</v>
      </c>
      <c r="F21" s="14">
        <f>60*INDEX(Rebirths!$C$6:$C$31,$A21+1)*Settings!$B$24*SUMPRODUCT(Sheep!$F$5:$F$23/INDEX('Rebirth Odds'!$C$9:$AB$27,0,$A21+1))/MAX(SUMPRODUCT(F$35:F$53/INDEX('Rebirth Odds'!$C$9:$AB$27,0,$A21+1)),Settings!$B$23)</f>
        <v>662828.33143952629</v>
      </c>
    </row>
    <row r="22" spans="1:6" x14ac:dyDescent="0.25">
      <c r="A22" s="7">
        <v>16</v>
      </c>
      <c r="B22" s="14">
        <f>60*INDEX(Rebirths!$C$6:$C$31,$A22+1)*Settings!$B$24*SUMPRODUCT(Sheep!$F$5:$F$23/INDEX('Rebirth Odds'!$C$9:$AB$27,0,$A22+1))/MAX(SUMPRODUCT(B$35:B$53/INDEX('Rebirth Odds'!$C$9:$AB$27,0,$A22+1)),Settings!$B$23)</f>
        <v>550326.98665179068</v>
      </c>
      <c r="C22" s="14">
        <f>60*INDEX(Rebirths!$C$6:$C$31,$A22+1)*Settings!$B$24*SUMPRODUCT(Sheep!$F$5:$F$23/INDEX('Rebirth Odds'!$C$9:$AB$27,0,$A22+1))/MAX(SUMPRODUCT(C$35:C$53/INDEX('Rebirth Odds'!$C$9:$AB$27,0,$A22+1)),Settings!$B$23)</f>
        <v>697991.07711508684</v>
      </c>
      <c r="D22" s="14">
        <f>60*INDEX(Rebirths!$C$6:$C$31,$A22+1)*Settings!$B$24*SUMPRODUCT(Sheep!$F$5:$F$23/INDEX('Rebirth Odds'!$C$9:$AB$27,0,$A22+1))/MAX(SUMPRODUCT(D$35:D$53/INDEX('Rebirth Odds'!$C$9:$AB$27,0,$A22+1)),Settings!$B$23)</f>
        <v>883411.24239198561</v>
      </c>
      <c r="E22" s="14">
        <f>60*INDEX(Rebirths!$C$6:$C$31,$A22+1)*Settings!$B$24*SUMPRODUCT(Sheep!$F$5:$F$23/INDEX('Rebirth Odds'!$C$9:$AB$27,0,$A22+1))/MAX(SUMPRODUCT(E$35:E$53/INDEX('Rebirth Odds'!$C$9:$AB$27,0,$A22+1)),Settings!$B$23)</f>
        <v>1007667.1962455664</v>
      </c>
      <c r="F22" s="14">
        <f>60*INDEX(Rebirths!$C$6:$C$31,$A22+1)*Settings!$B$24*SUMPRODUCT(Sheep!$F$5:$F$23/INDEX('Rebirth Odds'!$C$9:$AB$27,0,$A22+1))/MAX(SUMPRODUCT(F$35:F$53/INDEX('Rebirth Odds'!$C$9:$AB$27,0,$A22+1)),Settings!$B$23)</f>
        <v>1007667.1962455664</v>
      </c>
    </row>
    <row r="23" spans="1:6" x14ac:dyDescent="0.25">
      <c r="A23" s="7">
        <v>17</v>
      </c>
      <c r="B23" s="14">
        <f>60*INDEX(Rebirths!$C$6:$C$31,$A23+1)*Settings!$B$24*SUMPRODUCT(Sheep!$F$5:$F$23/INDEX('Rebirth Odds'!$C$9:$AB$27,0,$A23+1))/MAX(SUMPRODUCT(B$35:B$53/INDEX('Rebirth Odds'!$C$9:$AB$27,0,$A23+1)),Settings!$B$23)</f>
        <v>831510.17009254801</v>
      </c>
      <c r="C23" s="14">
        <f>60*INDEX(Rebirths!$C$6:$C$31,$A23+1)*Settings!$B$24*SUMPRODUCT(Sheep!$F$5:$F$23/INDEX('Rebirth Odds'!$C$9:$AB$27,0,$A23+1))/MAX(SUMPRODUCT(C$35:C$53/INDEX('Rebirth Odds'!$C$9:$AB$27,0,$A23+1)),Settings!$B$23)</f>
        <v>1054990.8988691731</v>
      </c>
      <c r="D23" s="14">
        <f>60*INDEX(Rebirths!$C$6:$C$31,$A23+1)*Settings!$B$24*SUMPRODUCT(Sheep!$F$5:$F$23/INDEX('Rebirth Odds'!$C$9:$AB$27,0,$A23+1))/MAX(SUMPRODUCT(D$35:D$53/INDEX('Rebirth Odds'!$C$9:$AB$27,0,$A23+1)),Settings!$B$23)</f>
        <v>1335108.9716897677</v>
      </c>
      <c r="E23" s="14">
        <f>60*INDEX(Rebirths!$C$6:$C$31,$A23+1)*Settings!$B$24*SUMPRODUCT(Sheep!$F$5:$F$23/INDEX('Rebirth Odds'!$C$9:$AB$27,0,$A23+1))/MAX(SUMPRODUCT(E$35:E$53/INDEX('Rebirth Odds'!$C$9:$AB$27,0,$A23+1)),Settings!$B$23)</f>
        <v>1533065.6605010119</v>
      </c>
      <c r="F23" s="14">
        <f>60*INDEX(Rebirths!$C$6:$C$31,$A23+1)*Settings!$B$24*SUMPRODUCT(Sheep!$F$5:$F$23/INDEX('Rebirth Odds'!$C$9:$AB$27,0,$A23+1))/MAX(SUMPRODUCT(F$35:F$53/INDEX('Rebirth Odds'!$C$9:$AB$27,0,$A23+1)),Settings!$B$23)</f>
        <v>1533065.6605010119</v>
      </c>
    </row>
    <row r="24" spans="1:6" x14ac:dyDescent="0.25">
      <c r="A24" s="7">
        <v>18</v>
      </c>
      <c r="B24" s="14">
        <f>60*INDEX(Rebirths!$C$6:$C$31,$A24+1)*Settings!$B$24*SUMPRODUCT(Sheep!$F$5:$F$23/INDEX('Rebirth Odds'!$C$9:$AB$27,0,$A24+1))/MAX(SUMPRODUCT(B$35:B$53/INDEX('Rebirth Odds'!$C$9:$AB$27,0,$A24+1)),Settings!$B$23)</f>
        <v>1256654.9877258772</v>
      </c>
      <c r="C24" s="14">
        <f>60*INDEX(Rebirths!$C$6:$C$31,$A24+1)*Settings!$B$24*SUMPRODUCT(Sheep!$F$5:$F$23/INDEX('Rebirth Odds'!$C$9:$AB$27,0,$A24+1))/MAX(SUMPRODUCT(C$35:C$53/INDEX('Rebirth Odds'!$C$9:$AB$27,0,$A24+1)),Settings!$B$23)</f>
        <v>1594970.6400244387</v>
      </c>
      <c r="D24" s="14">
        <f>60*INDEX(Rebirths!$C$6:$C$31,$A24+1)*Settings!$B$24*SUMPRODUCT(Sheep!$F$5:$F$23/INDEX('Rebirth Odds'!$C$9:$AB$27,0,$A24+1))/MAX(SUMPRODUCT(D$35:D$53/INDEX('Rebirth Odds'!$C$9:$AB$27,0,$A24+1)),Settings!$B$23)</f>
        <v>2018261.3524529617</v>
      </c>
      <c r="E24" s="14">
        <f>60*INDEX(Rebirths!$C$6:$C$31,$A24+1)*Settings!$B$24*SUMPRODUCT(Sheep!$F$5:$F$23/INDEX('Rebirth Odds'!$C$9:$AB$27,0,$A24+1))/MAX(SUMPRODUCT(E$35:E$53/INDEX('Rebirth Odds'!$C$9:$AB$27,0,$A24+1)),Settings!$B$23)</f>
        <v>2333539.8095965893</v>
      </c>
      <c r="F24" s="14">
        <f>60*INDEX(Rebirths!$C$6:$C$31,$A24+1)*Settings!$B$24*SUMPRODUCT(Sheep!$F$5:$F$23/INDEX('Rebirth Odds'!$C$9:$AB$27,0,$A24+1))/MAX(SUMPRODUCT(F$35:F$53/INDEX('Rebirth Odds'!$C$9:$AB$27,0,$A24+1)),Settings!$B$23)</f>
        <v>2333539.8095965893</v>
      </c>
    </row>
    <row r="25" spans="1:6" x14ac:dyDescent="0.25">
      <c r="A25" s="7">
        <v>19</v>
      </c>
      <c r="B25" s="14">
        <f>60*INDEX(Rebirths!$C$6:$C$31,$A25+1)*Settings!$B$24*SUMPRODUCT(Sheep!$F$5:$F$23/INDEX('Rebirth Odds'!$C$9:$AB$27,0,$A25+1))/MAX(SUMPRODUCT(B$35:B$53/INDEX('Rebirth Odds'!$C$9:$AB$27,0,$A25+1)),Settings!$B$23)</f>
        <v>1899396.6980574182</v>
      </c>
      <c r="C25" s="14">
        <f>60*INDEX(Rebirths!$C$6:$C$31,$A25+1)*Settings!$B$24*SUMPRODUCT(Sheep!$F$5:$F$23/INDEX('Rebirth Odds'!$C$9:$AB$27,0,$A25+1))/MAX(SUMPRODUCT(C$35:C$53/INDEX('Rebirth Odds'!$C$9:$AB$27,0,$A25+1)),Settings!$B$23)</f>
        <v>2411618.6783874547</v>
      </c>
      <c r="D25" s="14">
        <f>60*INDEX(Rebirths!$C$6:$C$31,$A25+1)*Settings!$B$24*SUMPRODUCT(Sheep!$F$5:$F$23/INDEX('Rebirth Odds'!$C$9:$AB$27,0,$A25+1))/MAX(SUMPRODUCT(D$35:D$53/INDEX('Rebirth Odds'!$C$9:$AB$27,0,$A25+1)),Settings!$B$23)</f>
        <v>3051355.0519312206</v>
      </c>
      <c r="E25" s="14">
        <f>60*INDEX(Rebirths!$C$6:$C$31,$A25+1)*Settings!$B$24*SUMPRODUCT(Sheep!$F$5:$F$23/INDEX('Rebirth Odds'!$C$9:$AB$27,0,$A25+1))/MAX(SUMPRODUCT(E$35:E$53/INDEX('Rebirth Odds'!$C$9:$AB$27,0,$A25+1)),Settings!$B$23)</f>
        <v>3552891.1195117715</v>
      </c>
      <c r="F25" s="14">
        <f>60*INDEX(Rebirths!$C$6:$C$31,$A25+1)*Settings!$B$24*SUMPRODUCT(Sheep!$F$5:$F$23/INDEX('Rebirth Odds'!$C$9:$AB$27,0,$A25+1))/MAX(SUMPRODUCT(F$35:F$53/INDEX('Rebirth Odds'!$C$9:$AB$27,0,$A25+1)),Settings!$B$23)</f>
        <v>3552891.1195117715</v>
      </c>
    </row>
    <row r="26" spans="1:6" x14ac:dyDescent="0.25">
      <c r="A26" s="7">
        <v>20</v>
      </c>
      <c r="B26" s="14">
        <f>60*INDEX(Rebirths!$C$6:$C$31,$A26+1)*Settings!$B$24*SUMPRODUCT(Sheep!$F$5:$F$23/INDEX('Rebirth Odds'!$C$9:$AB$27,0,$A26+1))/MAX(SUMPRODUCT(B$35:B$53/INDEX('Rebirth Odds'!$C$9:$AB$27,0,$A26+1)),Settings!$B$23)</f>
        <v>2886903.1762694358</v>
      </c>
      <c r="C26" s="14">
        <f>60*INDEX(Rebirths!$C$6:$C$31,$A26+1)*Settings!$B$24*SUMPRODUCT(Sheep!$F$5:$F$23/INDEX('Rebirth Odds'!$C$9:$AB$27,0,$A26+1))/MAX(SUMPRODUCT(C$35:C$53/INDEX('Rebirth Odds'!$C$9:$AB$27,0,$A26+1)),Settings!$B$23)</f>
        <v>3667683.0280946009</v>
      </c>
      <c r="D26" s="14">
        <f>60*INDEX(Rebirths!$C$6:$C$31,$A26+1)*Settings!$B$24*SUMPRODUCT(Sheep!$F$5:$F$23/INDEX('Rebirth Odds'!$C$9:$AB$27,0,$A26+1))/MAX(SUMPRODUCT(D$35:D$53/INDEX('Rebirth Odds'!$C$9:$AB$27,0,$A26+1)),Settings!$B$23)</f>
        <v>4639954.4106183536</v>
      </c>
      <c r="E26" s="14">
        <f>60*INDEX(Rebirths!$C$6:$C$31,$A26+1)*Settings!$B$24*SUMPRODUCT(Sheep!$F$5:$F$23/INDEX('Rebirth Odds'!$C$9:$AB$27,0,$A26+1))/MAX(SUMPRODUCT(E$35:E$53/INDEX('Rebirth Odds'!$C$9:$AB$27,0,$A26+1)),Settings!$B$23)</f>
        <v>5468984.4526415514</v>
      </c>
      <c r="F26" s="14">
        <f>60*INDEX(Rebirths!$C$6:$C$31,$A26+1)*Settings!$B$24*SUMPRODUCT(Sheep!$F$5:$F$23/INDEX('Rebirth Odds'!$C$9:$AB$27,0,$A26+1))/MAX(SUMPRODUCT(F$35:F$53/INDEX('Rebirth Odds'!$C$9:$AB$27,0,$A26+1)),Settings!$B$23)</f>
        <v>5468984.4526415514</v>
      </c>
    </row>
    <row r="27" spans="1:6" x14ac:dyDescent="0.25">
      <c r="A27" s="7">
        <v>21</v>
      </c>
      <c r="B27" s="14">
        <f>60*INDEX(Rebirths!$C$6:$C$31,$A27+1)*Settings!$B$24*SUMPRODUCT(Sheep!$F$5:$F$23/INDEX('Rebirth Odds'!$C$9:$AB$27,0,$A27+1))/MAX(SUMPRODUCT(B$35:B$53/INDEX('Rebirth Odds'!$C$9:$AB$27,0,$A27+1)),Settings!$B$23)</f>
        <v>4356425.3128103893</v>
      </c>
      <c r="C27" s="14">
        <f>60*INDEX(Rebirths!$C$6:$C$31,$A27+1)*Settings!$B$24*SUMPRODUCT(Sheep!$F$5:$F$23/INDEX('Rebirth Odds'!$C$9:$AB$27,0,$A27+1))/MAX(SUMPRODUCT(C$35:C$53/INDEX('Rebirth Odds'!$C$9:$AB$27,0,$A27+1)),Settings!$B$23)</f>
        <v>5536171.8281753249</v>
      </c>
      <c r="D27" s="14">
        <f>60*INDEX(Rebirths!$C$6:$C$31,$A27+1)*Settings!$B$24*SUMPRODUCT(Sheep!$F$5:$F$23/INDEX('Rebirth Odds'!$C$9:$AB$27,0,$A27+1))/MAX(SUMPRODUCT(D$35:D$53/INDEX('Rebirth Odds'!$C$9:$AB$27,0,$A27+1)),Settings!$B$23)</f>
        <v>7003362.1568799252</v>
      </c>
      <c r="E27" s="14">
        <f>60*INDEX(Rebirths!$C$6:$C$31,$A27+1)*Settings!$B$24*SUMPRODUCT(Sheep!$F$5:$F$23/INDEX('Rebirth Odds'!$C$9:$AB$27,0,$A27+1))/MAX(SUMPRODUCT(E$35:E$53/INDEX('Rebirth Odds'!$C$9:$AB$27,0,$A27+1)),Settings!$B$23)</f>
        <v>8300867.348311427</v>
      </c>
      <c r="F27" s="14">
        <f>60*INDEX(Rebirths!$C$6:$C$31,$A27+1)*Settings!$B$24*SUMPRODUCT(Sheep!$F$5:$F$23/INDEX('Rebirth Odds'!$C$9:$AB$27,0,$A27+1))/MAX(SUMPRODUCT(F$35:F$53/INDEX('Rebirth Odds'!$C$9:$AB$27,0,$A27+1)),Settings!$B$23)</f>
        <v>8300867.348311427</v>
      </c>
    </row>
    <row r="28" spans="1:6" x14ac:dyDescent="0.25">
      <c r="A28" s="7">
        <v>22</v>
      </c>
      <c r="B28" s="14">
        <f>60*INDEX(Rebirths!$C$6:$C$31,$A28+1)*Settings!$B$24*SUMPRODUCT(Sheep!$F$5:$F$23/INDEX('Rebirth Odds'!$C$9:$AB$27,0,$A28+1))/MAX(SUMPRODUCT(B$35:B$53/INDEX('Rebirth Odds'!$C$9:$AB$27,0,$A28+1)),Settings!$B$23)</f>
        <v>6576177.0664459821</v>
      </c>
      <c r="C28" s="14">
        <f>60*INDEX(Rebirths!$C$6:$C$31,$A28+1)*Settings!$B$24*SUMPRODUCT(Sheep!$F$5:$F$23/INDEX('Rebirth Odds'!$C$9:$AB$27,0,$A28+1))/MAX(SUMPRODUCT(C$35:C$53/INDEX('Rebirth Odds'!$C$9:$AB$27,0,$A28+1)),Settings!$B$23)</f>
        <v>8359455.6193010621</v>
      </c>
      <c r="D28" s="14">
        <f>60*INDEX(Rebirths!$C$6:$C$31,$A28+1)*Settings!$B$24*SUMPRODUCT(Sheep!$F$5:$F$23/INDEX('Rebirth Odds'!$C$9:$AB$27,0,$A28+1))/MAX(SUMPRODUCT(D$35:D$53/INDEX('Rebirth Odds'!$C$9:$AB$27,0,$A28+1)),Settings!$B$23)</f>
        <v>10574286.676005734</v>
      </c>
      <c r="E28" s="14">
        <f>60*INDEX(Rebirths!$C$6:$C$31,$A28+1)*Settings!$B$24*SUMPRODUCT(Sheep!$F$5:$F$23/INDEX('Rebirth Odds'!$C$9:$AB$27,0,$A28+1))/MAX(SUMPRODUCT(E$35:E$53/INDEX('Rebirth Odds'!$C$9:$AB$27,0,$A28+1)),Settings!$B$23)</f>
        <v>12607601.312234035</v>
      </c>
      <c r="F28" s="14">
        <f>60*INDEX(Rebirths!$C$6:$C$31,$A28+1)*Settings!$B$24*SUMPRODUCT(Sheep!$F$5:$F$23/INDEX('Rebirth Odds'!$C$9:$AB$27,0,$A28+1))/MAX(SUMPRODUCT(F$35:F$53/INDEX('Rebirth Odds'!$C$9:$AB$27,0,$A28+1)),Settings!$B$23)</f>
        <v>12607601.312234035</v>
      </c>
    </row>
    <row r="29" spans="1:6" x14ac:dyDescent="0.25">
      <c r="A29" s="7">
        <v>23</v>
      </c>
      <c r="B29" s="14">
        <f>60*INDEX(Rebirths!$C$6:$C$31,$A29+1)*Settings!$B$24*SUMPRODUCT(Sheep!$F$5:$F$23/INDEX('Rebirth Odds'!$C$9:$AB$27,0,$A29+1))/MAX(SUMPRODUCT(B$35:B$53/INDEX('Rebirth Odds'!$C$9:$AB$27,0,$A29+1)),Settings!$B$23)</f>
        <v>9929089.0881616306</v>
      </c>
      <c r="C29" s="14">
        <f>60*INDEX(Rebirths!$C$6:$C$31,$A29+1)*Settings!$B$24*SUMPRODUCT(Sheep!$F$5:$F$23/INDEX('Rebirth Odds'!$C$9:$AB$27,0,$A29+1))/MAX(SUMPRODUCT(C$35:C$53/INDEX('Rebirth Odds'!$C$9:$AB$27,0,$A29+1)),Settings!$B$23)</f>
        <v>12625310.084033655</v>
      </c>
      <c r="D29" s="14">
        <f>60*INDEX(Rebirths!$C$6:$C$31,$A29+1)*Settings!$B$24*SUMPRODUCT(Sheep!$F$5:$F$23/INDEX('Rebirth Odds'!$C$9:$AB$27,0,$A29+1))/MAX(SUMPRODUCT(D$35:D$53/INDEX('Rebirth Odds'!$C$9:$AB$27,0,$A29+1)),Settings!$B$23)</f>
        <v>15969559.229746463</v>
      </c>
      <c r="E29" s="14">
        <f>60*INDEX(Rebirths!$C$6:$C$31,$A29+1)*Settings!$B$24*SUMPRODUCT(Sheep!$F$5:$F$23/INDEX('Rebirth Odds'!$C$9:$AB$27,0,$A29+1))/MAX(SUMPRODUCT(E$35:E$53/INDEX('Rebirth Odds'!$C$9:$AB$27,0,$A29+1)),Settings!$B$23)</f>
        <v>19157145.53464679</v>
      </c>
      <c r="F29" s="14">
        <f>60*INDEX(Rebirths!$C$6:$C$31,$A29+1)*Settings!$B$24*SUMPRODUCT(Sheep!$F$5:$F$23/INDEX('Rebirth Odds'!$C$9:$AB$27,0,$A29+1))/MAX(SUMPRODUCT(F$35:F$53/INDEX('Rebirth Odds'!$C$9:$AB$27,0,$A29+1)),Settings!$B$23)</f>
        <v>19157145.53464679</v>
      </c>
    </row>
    <row r="30" spans="1:6" x14ac:dyDescent="0.25">
      <c r="A30" s="7">
        <v>24</v>
      </c>
      <c r="B30" s="14">
        <f>60*INDEX(Rebirths!$C$6:$C$31,$A30+1)*Settings!$B$24*SUMPRODUCT(Sheep!$F$5:$F$23/INDEX('Rebirth Odds'!$C$9:$AB$27,0,$A30+1))/MAX(SUMPRODUCT(B$35:B$53/INDEX('Rebirth Odds'!$C$9:$AB$27,0,$A30+1)),Settings!$B$23)</f>
        <v>14993181.24079342</v>
      </c>
      <c r="C30" s="14">
        <f>60*INDEX(Rebirths!$C$6:$C$31,$A30+1)*Settings!$B$24*SUMPRODUCT(Sheep!$F$5:$F$23/INDEX('Rebirth Odds'!$C$9:$AB$27,0,$A30+1))/MAX(SUMPRODUCT(C$35:C$53/INDEX('Rebirth Odds'!$C$9:$AB$27,0,$A30+1)),Settings!$B$23)</f>
        <v>19070207.371547174</v>
      </c>
      <c r="D30" s="14">
        <f>60*INDEX(Rebirths!$C$6:$C$31,$A30+1)*Settings!$B$24*SUMPRODUCT(Sheep!$F$5:$F$23/INDEX('Rebirth Odds'!$C$9:$AB$27,0,$A30+1))/MAX(SUMPRODUCT(D$35:D$53/INDEX('Rebirth Odds'!$C$9:$AB$27,0,$A30+1)),Settings!$B$23)</f>
        <v>24120503.324800417</v>
      </c>
      <c r="E30" s="14">
        <f>60*INDEX(Rebirths!$C$6:$C$31,$A30+1)*Settings!$B$24*SUMPRODUCT(Sheep!$F$5:$F$23/INDEX('Rebirth Odds'!$C$9:$AB$27,0,$A30+1))/MAX(SUMPRODUCT(E$35:E$53/INDEX('Rebirth Odds'!$C$9:$AB$27,0,$A30+1)),Settings!$B$23)</f>
        <v>29115977.017287016</v>
      </c>
      <c r="F30" s="14">
        <f>60*INDEX(Rebirths!$C$6:$C$31,$A30+1)*Settings!$B$24*SUMPRODUCT(Sheep!$F$5:$F$23/INDEX('Rebirth Odds'!$C$9:$AB$27,0,$A30+1))/MAX(SUMPRODUCT(F$35:F$53/INDEX('Rebirth Odds'!$C$9:$AB$27,0,$A30+1)),Settings!$B$23)</f>
        <v>29115977.017287016</v>
      </c>
    </row>
    <row r="31" spans="1:6" x14ac:dyDescent="0.25">
      <c r="A31" s="7">
        <v>25</v>
      </c>
      <c r="B31" s="14">
        <f>60*INDEX(Rebirths!$C$6:$C$31,$A31+1)*Settings!$B$24*SUMPRODUCT(Sheep!$F$5:$F$23/INDEX('Rebirth Odds'!$C$9:$AB$27,0,$A31+1))/MAX(SUMPRODUCT(B$35:B$53/INDEX('Rebirth Odds'!$C$9:$AB$27,0,$A31+1)),Settings!$B$23)</f>
        <v>22751007.367375527</v>
      </c>
      <c r="C31" s="14">
        <f>60*INDEX(Rebirths!$C$6:$C$31,$A31+1)*Settings!$B$24*SUMPRODUCT(Sheep!$F$5:$F$23/INDEX('Rebirth Odds'!$C$9:$AB$27,0,$A31+1))/MAX(SUMPRODUCT(C$35:C$53/INDEX('Rebirth Odds'!$C$9:$AB$27,0,$A31+1)),Settings!$B$23)</f>
        <v>28952266.646648753</v>
      </c>
      <c r="D31" s="14">
        <f>60*INDEX(Rebirths!$C$6:$C$31,$A31+1)*Settings!$B$24*SUMPRODUCT(Sheep!$F$5:$F$23/INDEX('Rebirth Odds'!$C$9:$AB$27,0,$A31+1))/MAX(SUMPRODUCT(D$35:D$53/INDEX('Rebirth Odds'!$C$9:$AB$27,0,$A31+1)),Settings!$B$23)</f>
        <v>36617220.185030669</v>
      </c>
      <c r="E31" s="14">
        <f>60*INDEX(Rebirths!$C$6:$C$31,$A31+1)*Settings!$B$24*SUMPRODUCT(Sheep!$F$5:$F$23/INDEX('Rebirth Odds'!$C$9:$AB$27,0,$A31+1))/MAX(SUMPRODUCT(E$35:E$53/INDEX('Rebirth Odds'!$C$9:$AB$27,0,$A31+1)),Settings!$B$23)</f>
        <v>44682238.37264099</v>
      </c>
      <c r="F31" s="14">
        <f>60*INDEX(Rebirths!$C$6:$C$31,$A31+1)*Settings!$B$24*SUMPRODUCT(Sheep!$F$5:$F$23/INDEX('Rebirth Odds'!$C$9:$AB$27,0,$A31+1))/MAX(SUMPRODUCT(F$35:F$53/INDEX('Rebirth Odds'!$C$9:$AB$27,0,$A31+1)),Settings!$B$23)</f>
        <v>44682238.37264099</v>
      </c>
    </row>
    <row r="33" spans="1:6" x14ac:dyDescent="0.25">
      <c r="A33" s="10" t="s">
        <v>138</v>
      </c>
    </row>
    <row r="34" spans="1:6" ht="30" customHeight="1" x14ac:dyDescent="0.25">
      <c r="A34" s="3" t="s">
        <v>67</v>
      </c>
      <c r="B34" s="3" t="s">
        <v>62</v>
      </c>
      <c r="C34" s="3" t="s">
        <v>63</v>
      </c>
      <c r="D34" s="3" t="s">
        <v>64</v>
      </c>
      <c r="E34" s="3" t="s">
        <v>65</v>
      </c>
      <c r="F34" s="3" t="s">
        <v>66</v>
      </c>
    </row>
    <row r="35" spans="1:6" x14ac:dyDescent="0.25">
      <c r="A35" s="28" t="str">
        <f>Sheep!A5</f>
        <v>Basic Sheep</v>
      </c>
      <c r="B35" s="8">
        <f>CEILING(Sheep!$E5/Shears!$F$5,1)*Settings!$B$5/Settings!$B$13</f>
        <v>1.75</v>
      </c>
      <c r="C35" s="8">
        <f>CEILING(Sheep!$E5/Shears!$F$6,1)*Settings!$B$5/Settings!$B$13</f>
        <v>1.4</v>
      </c>
      <c r="D35" s="8">
        <f>CEILING(Sheep!$E5/Shears!$F$7,1)*Settings!$B$5/Settings!$B$13</f>
        <v>1.0499999999999998</v>
      </c>
      <c r="E35" s="8">
        <f>CEILING(Sheep!$E5/Shears!$F$8,1)*Settings!$B$5/Settings!$B$13</f>
        <v>1.0499999999999998</v>
      </c>
      <c r="F35" s="8">
        <f>CEILING(Sheep!$E5/Shears!$F$9,1)*Settings!$B$5/Settings!$B$13</f>
        <v>0.7</v>
      </c>
    </row>
    <row r="36" spans="1:6" x14ac:dyDescent="0.25">
      <c r="A36" s="28" t="str">
        <f>Sheep!A6</f>
        <v>Grey Sheep</v>
      </c>
      <c r="B36" s="8">
        <f>CEILING(Sheep!$E6/Shears!$F$5,1)*Settings!$B$5/Settings!$B$13</f>
        <v>2.0999999999999996</v>
      </c>
      <c r="C36" s="8">
        <f>CEILING(Sheep!$E6/Shears!$F$6,1)*Settings!$B$5/Settings!$B$13</f>
        <v>1.75</v>
      </c>
      <c r="D36" s="8">
        <f>CEILING(Sheep!$E6/Shears!$F$7,1)*Settings!$B$5/Settings!$B$13</f>
        <v>1.4</v>
      </c>
      <c r="E36" s="8">
        <f>CEILING(Sheep!$E6/Shears!$F$8,1)*Settings!$B$5/Settings!$B$13</f>
        <v>1.0499999999999998</v>
      </c>
      <c r="F36" s="8">
        <f>CEILING(Sheep!$E6/Shears!$F$9,1)*Settings!$B$5/Settings!$B$13</f>
        <v>0.7</v>
      </c>
    </row>
    <row r="37" spans="1:6" x14ac:dyDescent="0.25">
      <c r="A37" s="28" t="str">
        <f>Sheep!A7</f>
        <v>Brown Sheep</v>
      </c>
      <c r="B37" s="8">
        <f>CEILING(Sheep!$E7/Shears!$F$5,1)*Settings!$B$5/Settings!$B$13</f>
        <v>2.0999999999999996</v>
      </c>
      <c r="C37" s="8">
        <f>CEILING(Sheep!$E7/Shears!$F$6,1)*Settings!$B$5/Settings!$B$13</f>
        <v>1.75</v>
      </c>
      <c r="D37" s="8">
        <f>CEILING(Sheep!$E7/Shears!$F$7,1)*Settings!$B$5/Settings!$B$13</f>
        <v>1.4</v>
      </c>
      <c r="E37" s="8">
        <f>CEILING(Sheep!$E7/Shears!$F$8,1)*Settings!$B$5/Settings!$B$13</f>
        <v>1.0499999999999998</v>
      </c>
      <c r="F37" s="8">
        <f>CEILING(Sheep!$E7/Shears!$F$9,1)*Settings!$B$5/Settings!$B$13</f>
        <v>0.7</v>
      </c>
    </row>
    <row r="38" spans="1:6" x14ac:dyDescent="0.25">
      <c r="A38" s="28" t="str">
        <f>Sheep!A8</f>
        <v>Black Sheep</v>
      </c>
      <c r="B38" s="8">
        <f>CEILING(Sheep!$E8/Shears!$F$5,1)*Settings!$B$5/Settings!$B$13</f>
        <v>2.4499999999999997</v>
      </c>
      <c r="C38" s="8">
        <f>CEILING(Sheep!$E8/Shears!$F$6,1)*Settings!$B$5/Settings!$B$13</f>
        <v>1.75</v>
      </c>
      <c r="D38" s="8">
        <f>CEILING(Sheep!$E8/Shears!$F$7,1)*Settings!$B$5/Settings!$B$13</f>
        <v>1.4</v>
      </c>
      <c r="E38" s="8">
        <f>CEILING(Sheep!$E8/Shears!$F$8,1)*Settings!$B$5/Settings!$B$13</f>
        <v>1.0499999999999998</v>
      </c>
      <c r="F38" s="8">
        <f>CEILING(Sheep!$E8/Shears!$F$9,1)*Settings!$B$5/Settings!$B$13</f>
        <v>1.0499999999999998</v>
      </c>
    </row>
    <row r="39" spans="1:6" x14ac:dyDescent="0.25">
      <c r="A39" s="28" t="str">
        <f>Sheep!A9</f>
        <v>Fluffy Sheep</v>
      </c>
      <c r="B39" s="8">
        <f>CEILING(Sheep!$E9/Shears!$F$5,1)*Settings!$B$5/Settings!$B$13</f>
        <v>2.8</v>
      </c>
      <c r="C39" s="8">
        <f>CEILING(Sheep!$E9/Shears!$F$6,1)*Settings!$B$5/Settings!$B$13</f>
        <v>2.0999999999999996</v>
      </c>
      <c r="D39" s="8">
        <f>CEILING(Sheep!$E9/Shears!$F$7,1)*Settings!$B$5/Settings!$B$13</f>
        <v>1.75</v>
      </c>
      <c r="E39" s="8">
        <f>CEILING(Sheep!$E9/Shears!$F$8,1)*Settings!$B$5/Settings!$B$13</f>
        <v>1.4</v>
      </c>
      <c r="F39" s="8">
        <f>CEILING(Sheep!$E9/Shears!$F$9,1)*Settings!$B$5/Settings!$B$13</f>
        <v>1.0499999999999998</v>
      </c>
    </row>
    <row r="40" spans="1:6" x14ac:dyDescent="0.25">
      <c r="A40" s="28" t="str">
        <f>Sheep!A10</f>
        <v>Cotton Candy Sheep</v>
      </c>
      <c r="B40" s="8">
        <f>CEILING(Sheep!$E10/Shears!$F$5,1)*Settings!$B$5/Settings!$B$13</f>
        <v>2.8</v>
      </c>
      <c r="C40" s="8">
        <f>CEILING(Sheep!$E10/Shears!$F$6,1)*Settings!$B$5/Settings!$B$13</f>
        <v>2.0999999999999996</v>
      </c>
      <c r="D40" s="8">
        <f>CEILING(Sheep!$E10/Shears!$F$7,1)*Settings!$B$5/Settings!$B$13</f>
        <v>1.75</v>
      </c>
      <c r="E40" s="8">
        <f>CEILING(Sheep!$E10/Shears!$F$8,1)*Settings!$B$5/Settings!$B$13</f>
        <v>1.4</v>
      </c>
      <c r="F40" s="8">
        <f>CEILING(Sheep!$E10/Shears!$F$9,1)*Settings!$B$5/Settings!$B$13</f>
        <v>1.0499999999999998</v>
      </c>
    </row>
    <row r="41" spans="1:6" x14ac:dyDescent="0.25">
      <c r="A41" s="28" t="str">
        <f>Sheep!A11</f>
        <v>Ice Sheep</v>
      </c>
      <c r="B41" s="8">
        <f>CEILING(Sheep!$E11/Shears!$F$5,1)*Settings!$B$5/Settings!$B$13</f>
        <v>2.8</v>
      </c>
      <c r="C41" s="8">
        <f>CEILING(Sheep!$E11/Shears!$F$6,1)*Settings!$B$5/Settings!$B$13</f>
        <v>2.4499999999999997</v>
      </c>
      <c r="D41" s="8">
        <f>CEILING(Sheep!$E11/Shears!$F$7,1)*Settings!$B$5/Settings!$B$13</f>
        <v>1.75</v>
      </c>
      <c r="E41" s="8">
        <f>CEILING(Sheep!$E11/Shears!$F$8,1)*Settings!$B$5/Settings!$B$13</f>
        <v>1.4</v>
      </c>
      <c r="F41" s="8">
        <f>CEILING(Sheep!$E11/Shears!$F$9,1)*Settings!$B$5/Settings!$B$13</f>
        <v>1.0499999999999998</v>
      </c>
    </row>
    <row r="42" spans="1:6" x14ac:dyDescent="0.25">
      <c r="A42" s="28" t="str">
        <f>Sheep!A12</f>
        <v>Golden Sheep</v>
      </c>
      <c r="B42" s="8">
        <f>CEILING(Sheep!$E12/Shears!$F$5,1)*Settings!$B$5/Settings!$B$13</f>
        <v>3.15</v>
      </c>
      <c r="C42" s="8">
        <f>CEILING(Sheep!$E12/Shears!$F$6,1)*Settings!$B$5/Settings!$B$13</f>
        <v>2.4499999999999997</v>
      </c>
      <c r="D42" s="8">
        <f>CEILING(Sheep!$E12/Shears!$F$7,1)*Settings!$B$5/Settings!$B$13</f>
        <v>2.0999999999999996</v>
      </c>
      <c r="E42" s="8">
        <f>CEILING(Sheep!$E12/Shears!$F$8,1)*Settings!$B$5/Settings!$B$13</f>
        <v>1.4</v>
      </c>
      <c r="F42" s="8">
        <f>CEILING(Sheep!$E12/Shears!$F$9,1)*Settings!$B$5/Settings!$B$13</f>
        <v>1.0499999999999998</v>
      </c>
    </row>
    <row r="43" spans="1:6" x14ac:dyDescent="0.25">
      <c r="A43" s="28" t="str">
        <f>Sheep!A13</f>
        <v>Stone Sheep</v>
      </c>
      <c r="B43" s="8">
        <f>CEILING(Sheep!$E13/Shears!$F$5,1)*Settings!$B$5/Settings!$B$13</f>
        <v>4.1999999999999993</v>
      </c>
      <c r="C43" s="8">
        <f>CEILING(Sheep!$E13/Shears!$F$6,1)*Settings!$B$5/Settings!$B$13</f>
        <v>3.15</v>
      </c>
      <c r="D43" s="8">
        <f>CEILING(Sheep!$E13/Shears!$F$7,1)*Settings!$B$5/Settings!$B$13</f>
        <v>2.4499999999999997</v>
      </c>
      <c r="E43" s="8">
        <f>CEILING(Sheep!$E13/Shears!$F$8,1)*Settings!$B$5/Settings!$B$13</f>
        <v>1.75</v>
      </c>
      <c r="F43" s="8">
        <f>CEILING(Sheep!$E13/Shears!$F$9,1)*Settings!$B$5/Settings!$B$13</f>
        <v>1.4</v>
      </c>
    </row>
    <row r="44" spans="1:6" x14ac:dyDescent="0.25">
      <c r="A44" s="28" t="str">
        <f>Sheep!A14</f>
        <v>Mummy Sheep</v>
      </c>
      <c r="B44" s="8">
        <f>CEILING(Sheep!$E14/Shears!$F$5,1)*Settings!$B$5/Settings!$B$13</f>
        <v>3.5</v>
      </c>
      <c r="C44" s="8">
        <f>CEILING(Sheep!$E14/Shears!$F$6,1)*Settings!$B$5/Settings!$B$13</f>
        <v>2.8</v>
      </c>
      <c r="D44" s="8">
        <f>CEILING(Sheep!$E14/Shears!$F$7,1)*Settings!$B$5/Settings!$B$13</f>
        <v>2.0999999999999996</v>
      </c>
      <c r="E44" s="8">
        <f>CEILING(Sheep!$E14/Shears!$F$8,1)*Settings!$B$5/Settings!$B$13</f>
        <v>1.75</v>
      </c>
      <c r="F44" s="8">
        <f>CEILING(Sheep!$E14/Shears!$F$9,1)*Settings!$B$5/Settings!$B$13</f>
        <v>1.4</v>
      </c>
    </row>
    <row r="45" spans="1:6" x14ac:dyDescent="0.25">
      <c r="A45" s="28" t="str">
        <f>Sheep!A15</f>
        <v>Luck Sheep</v>
      </c>
      <c r="B45" s="8">
        <f>CEILING(Sheep!$E15/Shears!$F$5,1)*Settings!$B$5/Settings!$B$13</f>
        <v>3.5</v>
      </c>
      <c r="C45" s="8">
        <f>CEILING(Sheep!$E15/Shears!$F$6,1)*Settings!$B$5/Settings!$B$13</f>
        <v>2.8</v>
      </c>
      <c r="D45" s="8">
        <f>CEILING(Sheep!$E15/Shears!$F$7,1)*Settings!$B$5/Settings!$B$13</f>
        <v>2.0999999999999996</v>
      </c>
      <c r="E45" s="8">
        <f>CEILING(Sheep!$E15/Shears!$F$8,1)*Settings!$B$5/Settings!$B$13</f>
        <v>1.75</v>
      </c>
      <c r="F45" s="8">
        <f>CEILING(Sheep!$E15/Shears!$F$9,1)*Settings!$B$5/Settings!$B$13</f>
        <v>1.4</v>
      </c>
    </row>
    <row r="46" spans="1:6" x14ac:dyDescent="0.25">
      <c r="A46" s="28" t="str">
        <f>Sheep!A16</f>
        <v>Emerald Sheep</v>
      </c>
      <c r="B46" s="8">
        <f>CEILING(Sheep!$E16/Shears!$F$5,1)*Settings!$B$5/Settings!$B$13</f>
        <v>3.5</v>
      </c>
      <c r="C46" s="8">
        <f>CEILING(Sheep!$E16/Shears!$F$6,1)*Settings!$B$5/Settings!$B$13</f>
        <v>2.8</v>
      </c>
      <c r="D46" s="8">
        <f>CEILING(Sheep!$E16/Shears!$F$7,1)*Settings!$B$5/Settings!$B$13</f>
        <v>2.0999999999999996</v>
      </c>
      <c r="E46" s="8">
        <f>CEILING(Sheep!$E16/Shears!$F$8,1)*Settings!$B$5/Settings!$B$13</f>
        <v>1.75</v>
      </c>
      <c r="F46" s="8">
        <f>CEILING(Sheep!$E16/Shears!$F$9,1)*Settings!$B$5/Settings!$B$13</f>
        <v>1.4</v>
      </c>
    </row>
    <row r="47" spans="1:6" x14ac:dyDescent="0.25">
      <c r="A47" s="28" t="str">
        <f>Sheep!A17</f>
        <v>Pumpkin Sheep</v>
      </c>
      <c r="B47" s="8">
        <f>CEILING(Sheep!$E17/Shears!$F$5,1)*Settings!$B$5/Settings!$B$13</f>
        <v>2.8</v>
      </c>
      <c r="C47" s="8">
        <f>CEILING(Sheep!$E17/Shears!$F$6,1)*Settings!$B$5/Settings!$B$13</f>
        <v>2.0999999999999996</v>
      </c>
      <c r="D47" s="8">
        <f>CEILING(Sheep!$E17/Shears!$F$7,1)*Settings!$B$5/Settings!$B$13</f>
        <v>1.75</v>
      </c>
      <c r="E47" s="8">
        <f>CEILING(Sheep!$E17/Shears!$F$8,1)*Settings!$B$5/Settings!$B$13</f>
        <v>1.4</v>
      </c>
      <c r="F47" s="8">
        <f>CEILING(Sheep!$E17/Shears!$F$9,1)*Settings!$B$5/Settings!$B$13</f>
        <v>1.0499999999999998</v>
      </c>
    </row>
    <row r="48" spans="1:6" x14ac:dyDescent="0.25">
      <c r="A48" s="28" t="str">
        <f>Sheep!A18</f>
        <v>Spotted Sheep</v>
      </c>
      <c r="B48" s="8">
        <f>CEILING(Sheep!$E18/Shears!$F$5,1)*Settings!$B$5/Settings!$B$13</f>
        <v>3.8499999999999996</v>
      </c>
      <c r="C48" s="8">
        <f>CEILING(Sheep!$E18/Shears!$F$6,1)*Settings!$B$5/Settings!$B$13</f>
        <v>3.15</v>
      </c>
      <c r="D48" s="8">
        <f>CEILING(Sheep!$E18/Shears!$F$7,1)*Settings!$B$5/Settings!$B$13</f>
        <v>2.4499999999999997</v>
      </c>
      <c r="E48" s="8">
        <f>CEILING(Sheep!$E18/Shears!$F$8,1)*Settings!$B$5/Settings!$B$13</f>
        <v>1.75</v>
      </c>
      <c r="F48" s="8">
        <f>CEILING(Sheep!$E18/Shears!$F$9,1)*Settings!$B$5/Settings!$B$13</f>
        <v>1.4</v>
      </c>
    </row>
    <row r="49" spans="1:6" x14ac:dyDescent="0.25">
      <c r="A49" s="28" t="str">
        <f>Sheep!A19</f>
        <v>Ruby Sheep</v>
      </c>
      <c r="B49" s="8">
        <f>CEILING(Sheep!$E19/Shears!$F$5,1)*Settings!$B$5/Settings!$B$13</f>
        <v>4.1999999999999993</v>
      </c>
      <c r="C49" s="8">
        <f>CEILING(Sheep!$E19/Shears!$F$6,1)*Settings!$B$5/Settings!$B$13</f>
        <v>3.15</v>
      </c>
      <c r="D49" s="8">
        <f>CEILING(Sheep!$E19/Shears!$F$7,1)*Settings!$B$5/Settings!$B$13</f>
        <v>2.4499999999999997</v>
      </c>
      <c r="E49" s="8">
        <f>CEILING(Sheep!$E19/Shears!$F$8,1)*Settings!$B$5/Settings!$B$13</f>
        <v>2.0999999999999996</v>
      </c>
      <c r="F49" s="8">
        <f>CEILING(Sheep!$E19/Shears!$F$9,1)*Settings!$B$5/Settings!$B$13</f>
        <v>1.4</v>
      </c>
    </row>
    <row r="50" spans="1:6" x14ac:dyDescent="0.25">
      <c r="A50" s="28" t="str">
        <f>Sheep!A20</f>
        <v>Vampire Sheep</v>
      </c>
      <c r="B50" s="8">
        <f>CEILING(Sheep!$E20/Shears!$F$5,1)*Settings!$B$5/Settings!$B$13</f>
        <v>4.1999999999999993</v>
      </c>
      <c r="C50" s="8">
        <f>CEILING(Sheep!$E20/Shears!$F$6,1)*Settings!$B$5/Settings!$B$13</f>
        <v>3.5</v>
      </c>
      <c r="D50" s="8">
        <f>CEILING(Sheep!$E20/Shears!$F$7,1)*Settings!$B$5/Settings!$B$13</f>
        <v>2.8</v>
      </c>
      <c r="E50" s="8">
        <f>CEILING(Sheep!$E20/Shears!$F$8,1)*Settings!$B$5/Settings!$B$13</f>
        <v>2.0999999999999996</v>
      </c>
      <c r="F50" s="8">
        <f>CEILING(Sheep!$E20/Shears!$F$9,1)*Settings!$B$5/Settings!$B$13</f>
        <v>1.4</v>
      </c>
    </row>
    <row r="51" spans="1:6" x14ac:dyDescent="0.25">
      <c r="A51" s="28" t="str">
        <f>Sheep!A21</f>
        <v>Diamond Sheep</v>
      </c>
      <c r="B51" s="8">
        <f>CEILING(Sheep!$E21/Shears!$F$5,1)*Settings!$B$5/Settings!$B$13</f>
        <v>4.55</v>
      </c>
      <c r="C51" s="8">
        <f>CEILING(Sheep!$E21/Shears!$F$6,1)*Settings!$B$5/Settings!$B$13</f>
        <v>3.5</v>
      </c>
      <c r="D51" s="8">
        <f>CEILING(Sheep!$E21/Shears!$F$7,1)*Settings!$B$5/Settings!$B$13</f>
        <v>2.8</v>
      </c>
      <c r="E51" s="8">
        <f>CEILING(Sheep!$E21/Shears!$F$8,1)*Settings!$B$5/Settings!$B$13</f>
        <v>2.0999999999999996</v>
      </c>
      <c r="F51" s="8">
        <f>CEILING(Sheep!$E21/Shears!$F$9,1)*Settings!$B$5/Settings!$B$13</f>
        <v>1.75</v>
      </c>
    </row>
    <row r="52" spans="1:6" x14ac:dyDescent="0.25">
      <c r="A52" s="28" t="str">
        <f>Sheep!A22</f>
        <v>Rainbow Sheep</v>
      </c>
      <c r="B52" s="8">
        <f>CEILING(Sheep!$E22/Shears!$F$5,1)*Settings!$B$5/Settings!$B$13</f>
        <v>4.55</v>
      </c>
      <c r="C52" s="8">
        <f>CEILING(Sheep!$E22/Shears!$F$6,1)*Settings!$B$5/Settings!$B$13</f>
        <v>3.5</v>
      </c>
      <c r="D52" s="8">
        <f>CEILING(Sheep!$E22/Shears!$F$7,1)*Settings!$B$5/Settings!$B$13</f>
        <v>2.8</v>
      </c>
      <c r="E52" s="8">
        <f>CEILING(Sheep!$E22/Shears!$F$8,1)*Settings!$B$5/Settings!$B$13</f>
        <v>2.0999999999999996</v>
      </c>
      <c r="F52" s="8">
        <f>CEILING(Sheep!$E22/Shears!$F$9,1)*Settings!$B$5/Settings!$B$13</f>
        <v>1.75</v>
      </c>
    </row>
    <row r="53" spans="1:6" x14ac:dyDescent="0.25">
      <c r="A53" s="28" t="str">
        <f>Sheep!A23</f>
        <v>Obsidian Sheep</v>
      </c>
      <c r="B53" s="8">
        <f>CEILING(Sheep!$E23/Shears!$F$5,1)*Settings!$B$5/Settings!$B$13</f>
        <v>4.8999999999999995</v>
      </c>
      <c r="C53" s="8">
        <f>CEILING(Sheep!$E23/Shears!$F$6,1)*Settings!$B$5/Settings!$B$13</f>
        <v>3.8499999999999996</v>
      </c>
      <c r="D53" s="8">
        <f>CEILING(Sheep!$E23/Shears!$F$7,1)*Settings!$B$5/Settings!$B$13</f>
        <v>2.8</v>
      </c>
      <c r="E53" s="8">
        <f>CEILING(Sheep!$E23/Shears!$F$8,1)*Settings!$B$5/Settings!$B$13</f>
        <v>2.0999999999999996</v>
      </c>
      <c r="F53" s="8">
        <f>CEILING(Sheep!$E23/Shears!$F$9,1)*Settings!$B$5/Settings!$B$13</f>
        <v>1.75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22" customWidth="1"/>
    <col min="3" max="5" width="12" customWidth="1"/>
    <col min="6" max="6" width="10" customWidth="1"/>
    <col min="7" max="13" width="12" customWidth="1"/>
    <col min="14" max="14" width="14" customWidth="1"/>
    <col min="15" max="15" width="22" customWidth="1"/>
    <col min="16" max="16" width="14" customWidth="1"/>
  </cols>
  <sheetData>
    <row r="1" spans="1:16" ht="18" x14ac:dyDescent="0.25">
      <c r="A1" s="1" t="s">
        <v>137</v>
      </c>
    </row>
    <row r="2" spans="1:16" x14ac:dyDescent="0.25">
      <c r="A2" s="2" t="s">
        <v>139</v>
      </c>
    </row>
    <row r="5" spans="1:16" ht="30" customHeight="1" x14ac:dyDescent="0.25">
      <c r="A5" s="3" t="s">
        <v>140</v>
      </c>
      <c r="B5" s="3" t="s">
        <v>141</v>
      </c>
      <c r="C5" s="3" t="s">
        <v>142</v>
      </c>
      <c r="D5" s="3" t="s">
        <v>143</v>
      </c>
      <c r="E5" s="3" t="s">
        <v>144</v>
      </c>
      <c r="F5" s="3" t="s">
        <v>145</v>
      </c>
      <c r="G5" s="29" t="s">
        <v>146</v>
      </c>
      <c r="H5" s="30" t="s">
        <v>147</v>
      </c>
      <c r="I5" s="31" t="s">
        <v>148</v>
      </c>
      <c r="J5" s="32" t="s">
        <v>149</v>
      </c>
      <c r="K5" s="33" t="s">
        <v>150</v>
      </c>
      <c r="L5" s="34" t="s">
        <v>151</v>
      </c>
      <c r="M5" s="3" t="s">
        <v>152</v>
      </c>
      <c r="N5" s="3" t="s">
        <v>153</v>
      </c>
      <c r="O5" s="3" t="s">
        <v>154</v>
      </c>
      <c r="P5" s="3" t="s">
        <v>155</v>
      </c>
    </row>
    <row r="6" spans="1:16" x14ac:dyDescent="0.25">
      <c r="A6" s="7">
        <v>0</v>
      </c>
      <c r="B6" s="14">
        <f>IF(A6&gt;=Settings!$B$15,"max",FLOOR(Settings!$B$16*Settings!$B$17^A6,1))</f>
        <v>1500</v>
      </c>
      <c r="C6" s="35">
        <f>Settings!$B$18^A6</f>
        <v>1</v>
      </c>
      <c r="D6" s="14">
        <f>IF(A6=0,0,FLOOR(Settings!$B$19*Settings!$B$20^(A6-1)*IF(MOD(A6,Settings!$B$21)=0,Settings!$B$22,1),1))</f>
        <v>0</v>
      </c>
      <c r="E6" s="14">
        <f>SUM($D$6:D6)</f>
        <v>0</v>
      </c>
      <c r="F6" s="20">
        <f>1+Settings!$B$14*LOG10(1+E6)</f>
        <v>1</v>
      </c>
      <c r="G6" s="18">
        <f>IFERROR(1/SUMPRODUCT((Sheep!$C$5:$C$23="Common")/INDEX('Rebirth Odds'!$C$9:$AB$27,0,$A6+1)),"-")</f>
        <v>1.4070533333333335</v>
      </c>
      <c r="H6" s="18">
        <f>IFERROR(1/SUMPRODUCT((Sheep!$C$5:$C$23="Uncommon")/INDEX('Rebirth Odds'!$C$9:$AB$27,0,$A6+1)),"-")</f>
        <v>5.0251904761904758</v>
      </c>
      <c r="I6" s="18">
        <f>IFERROR(1/SUMPRODUCT((Sheep!$C$5:$C$23="Rare")/INDEX('Rebirth Odds'!$C$9:$AB$27,0,$A6+1)),"-")</f>
        <v>14.656805555555556</v>
      </c>
      <c r="J6" s="18">
        <f>IFERROR(1/SUMPRODUCT((Sheep!$C$5:$C$23="Epic")/INDEX('Rebirth Odds'!$C$9:$AB$27,0,$A6+1)),"-")</f>
        <v>48.743187066974592</v>
      </c>
      <c r="K6" s="18">
        <f>IFERROR(1/SUMPRODUCT((Sheep!$C$5:$C$23="Legendary")/INDEX('Rebirth Odds'!$C$9:$AB$27,0,$A6+1)),"-")</f>
        <v>753.77857142857135</v>
      </c>
      <c r="L6" s="18">
        <f>IFERROR(1/SUMPRODUCT((Sheep!$C$5:$C$23="Mythic")/INDEX('Rebirth Odds'!$C$9:$AB$27,0,$A6+1)),"-")</f>
        <v>4397.041666666667</v>
      </c>
      <c r="M6" s="15">
        <f>C6*Settings!$B$24*SUMPRODUCT(Sheep!$F$5:$F$23/INDEX('Rebirth Odds'!$C$9:$AB$27,0,$A6+1))</f>
        <v>19.686626424963755</v>
      </c>
      <c r="N6" s="14">
        <f t="shared" ref="N6:N31" si="0">IF(ISNUMBER(B6),B6/M6,"-")</f>
        <v>76.193857069280043</v>
      </c>
      <c r="O6" s="7" t="str">
        <f>IF(ISNUMBER(N6),INDEX(Sheep!$A$5:$A$23,MATCH(P6,INDEX('Rebirth Odds'!$C$9:$AB$27,0,$A6+1),0)),"-")</f>
        <v>Ice Sheep</v>
      </c>
      <c r="P6" s="18">
        <f>IF(ISNUMBER(N6),_xlfn.MAXIFS(INDEX('Rebirth Odds'!$C$9:$AB$27,0,$A6+1),INDEX('Rebirth Odds'!$C$9:$AB$27,0,$A6+1),"&lt;="&amp;N6),"-")</f>
        <v>52.764499999999998</v>
      </c>
    </row>
    <row r="7" spans="1:16" x14ac:dyDescent="0.25">
      <c r="A7" s="7">
        <v>1</v>
      </c>
      <c r="B7" s="14">
        <f>IF(A7&gt;=Settings!$B$15,"max",FLOOR(Settings!$B$16*Settings!$B$17^A7,1))</f>
        <v>4500</v>
      </c>
      <c r="C7" s="35">
        <f>Settings!$B$18^A7</f>
        <v>1.5</v>
      </c>
      <c r="D7" s="14">
        <f>IF(A7=0,0,FLOOR(Settings!$B$19*Settings!$B$20^(A7-1)*IF(MOD(A7,Settings!$B$21)=0,Settings!$B$22,1),1))</f>
        <v>50</v>
      </c>
      <c r="E7" s="14">
        <f>SUM($D$6:D7)</f>
        <v>50</v>
      </c>
      <c r="F7" s="20">
        <f>1+Settings!$B$14*LOG10(1+E7)</f>
        <v>1.8537850880489681</v>
      </c>
      <c r="G7" s="18">
        <f>IFERROR(1/SUMPRODUCT((Sheep!$C$5:$C$23="Common")/INDEX('Rebirth Odds'!$C$9:$AB$27,0,$A7+1)),"-")</f>
        <v>2.0619130562298951</v>
      </c>
      <c r="H7" s="18">
        <f>IFERROR(1/SUMPRODUCT((Sheep!$C$5:$C$23="Uncommon")/INDEX('Rebirth Odds'!$C$9:$AB$27,0,$A7+1)),"-")</f>
        <v>3.9723996315944756</v>
      </c>
      <c r="I7" s="18">
        <f>IFERROR(1/SUMPRODUCT((Sheep!$C$5:$C$23="Rare")/INDEX('Rebirth Odds'!$C$9:$AB$27,0,$A7+1)),"-")</f>
        <v>6.2500047426449594</v>
      </c>
      <c r="J7" s="18">
        <f>IFERROR(1/SUMPRODUCT((Sheep!$C$5:$C$23="Epic")/INDEX('Rebirth Odds'!$C$9:$AB$27,0,$A7+1)),"-")</f>
        <v>11.212321916841109</v>
      </c>
      <c r="K7" s="18">
        <f>IFERROR(1/SUMPRODUCT((Sheep!$C$5:$C$23="Legendary")/INDEX('Rebirth Odds'!$C$9:$AB$27,0,$A7+1)),"-")</f>
        <v>93.533252997015367</v>
      </c>
      <c r="L7" s="18">
        <f>IFERROR(1/SUMPRODUCT((Sheep!$C$5:$C$23="Mythic")/INDEX('Rebirth Odds'!$C$9:$AB$27,0,$A7+1)),"-")</f>
        <v>294.32248969961358</v>
      </c>
      <c r="M7" s="15">
        <f>C7*Settings!$B$24*SUMPRODUCT(Sheep!$F$5:$F$23/INDEX('Rebirth Odds'!$C$9:$AB$27,0,$A7+1))</f>
        <v>38.502161801009436</v>
      </c>
      <c r="N7" s="14">
        <f t="shared" si="0"/>
        <v>116.8765541856411</v>
      </c>
      <c r="O7" s="7" t="str">
        <f>IF(ISNUMBER(N7),INDEX(Sheep!$A$5:$A$23,MATCH(P7,INDEX('Rebirth Odds'!$C$9:$AB$27,0,$A7+1),0)),"-")</f>
        <v>Luck Sheep</v>
      </c>
      <c r="P7" s="18">
        <f>IF(ISNUMBER(N7),_xlfn.MAXIFS(INDEX('Rebirth Odds'!$C$9:$AB$27,0,$A7+1),INDEX('Rebirth Odds'!$C$9:$AB$27,0,$A7+1),"&lt;="&amp;N7),"-")</f>
        <v>115.59369976171904</v>
      </c>
    </row>
    <row r="8" spans="1:16" x14ac:dyDescent="0.25">
      <c r="A8" s="7">
        <v>2</v>
      </c>
      <c r="B8" s="14">
        <f>IF(A8&gt;=Settings!$B$15,"max",FLOOR(Settings!$B$16*Settings!$B$17^A8,1))</f>
        <v>13500</v>
      </c>
      <c r="C8" s="35">
        <f>Settings!$B$18^A8</f>
        <v>2.25</v>
      </c>
      <c r="D8" s="14">
        <f>IF(A8=0,0,FLOOR(Settings!$B$19*Settings!$B$20^(A8-1)*IF(MOD(A8,Settings!$B$21)=0,Settings!$B$22,1),1))</f>
        <v>72</v>
      </c>
      <c r="E8" s="14">
        <f>SUM($D$6:D8)</f>
        <v>122</v>
      </c>
      <c r="F8" s="20">
        <f>1+Settings!$B$14*LOG10(1+E8)</f>
        <v>2.044952555719699</v>
      </c>
      <c r="G8" s="18">
        <f>IFERROR(1/SUMPRODUCT((Sheep!$C$5:$C$23="Common")/INDEX('Rebirth Odds'!$C$9:$AB$27,0,$A8+1)),"-")</f>
        <v>2.2649874165245127</v>
      </c>
      <c r="H8" s="18">
        <f>IFERROR(1/SUMPRODUCT((Sheep!$C$5:$C$23="Uncommon")/INDEX('Rebirth Odds'!$C$9:$AB$27,0,$A8+1)),"-")</f>
        <v>3.9557107330809984</v>
      </c>
      <c r="I8" s="18">
        <f>IFERROR(1/SUMPRODUCT((Sheep!$C$5:$C$23="Rare")/INDEX('Rebirth Odds'!$C$9:$AB$27,0,$A8+1)),"-")</f>
        <v>5.6419351177037056</v>
      </c>
      <c r="J8" s="18">
        <f>IFERROR(1/SUMPRODUCT((Sheep!$C$5:$C$23="Epic")/INDEX('Rebirth Odds'!$C$9:$AB$27,0,$A8+1)),"-")</f>
        <v>9.1752825409220371</v>
      </c>
      <c r="K8" s="18">
        <f>IFERROR(1/SUMPRODUCT((Sheep!$C$5:$C$23="Legendary")/INDEX('Rebirth Odds'!$C$9:$AB$27,0,$A8+1)),"-")</f>
        <v>69.385077089076731</v>
      </c>
      <c r="L8" s="18">
        <f>IFERROR(1/SUMPRODUCT((Sheep!$C$5:$C$23="Mythic")/INDEX('Rebirth Odds'!$C$9:$AB$27,0,$A8+1)),"-")</f>
        <v>197.92453467321064</v>
      </c>
      <c r="M8" s="15">
        <f>C8*Settings!$B$24*SUMPRODUCT(Sheep!$F$5:$F$23/INDEX('Rebirth Odds'!$C$9:$AB$27,0,$A8+1))</f>
        <v>61.255830283351472</v>
      </c>
      <c r="N8" s="14">
        <f t="shared" si="0"/>
        <v>220.38718498391037</v>
      </c>
      <c r="O8" s="7" t="str">
        <f>IF(ISNUMBER(N8),INDEX(Sheep!$A$5:$A$23,MATCH(P8,INDEX('Rebirth Odds'!$C$9:$AB$27,0,$A8+1),0)),"-")</f>
        <v>Pumpkin Sheep</v>
      </c>
      <c r="P8" s="18">
        <f>IF(ISNUMBER(N8),_xlfn.MAXIFS(INDEX('Rebirth Odds'!$C$9:$AB$27,0,$A8+1),INDEX('Rebirth Odds'!$C$9:$AB$27,0,$A8+1),"&lt;="&amp;N8),"-")</f>
        <v>194.27821584941486</v>
      </c>
    </row>
    <row r="9" spans="1:16" x14ac:dyDescent="0.25">
      <c r="A9" s="7">
        <v>3</v>
      </c>
      <c r="B9" s="14">
        <f>IF(A9&gt;=Settings!$B$15,"max",FLOOR(Settings!$B$16*Settings!$B$17^A9,1))</f>
        <v>40500</v>
      </c>
      <c r="C9" s="35">
        <f>Settings!$B$18^A9</f>
        <v>3.375</v>
      </c>
      <c r="D9" s="14">
        <f>IF(A9=0,0,FLOOR(Settings!$B$19*Settings!$B$20^(A9-1)*IF(MOD(A9,Settings!$B$21)=0,Settings!$B$22,1),1))</f>
        <v>105</v>
      </c>
      <c r="E9" s="14">
        <f>SUM($D$6:D9)</f>
        <v>227</v>
      </c>
      <c r="F9" s="20">
        <f>1+Settings!$B$14*LOG10(1+E9)</f>
        <v>2.178967423500227</v>
      </c>
      <c r="G9" s="18">
        <f>IFERROR(1/SUMPRODUCT((Sheep!$C$5:$C$23="Common")/INDEX('Rebirth Odds'!$C$9:$AB$27,0,$A9+1)),"-")</f>
        <v>2.4223474344451805</v>
      </c>
      <c r="H9" s="18">
        <f>IFERROR(1/SUMPRODUCT((Sheep!$C$5:$C$23="Uncommon")/INDEX('Rebirth Odds'!$C$9:$AB$27,0,$A9+1)),"-")</f>
        <v>3.9703396865874785</v>
      </c>
      <c r="I9" s="18">
        <f>IFERROR(1/SUMPRODUCT((Sheep!$C$5:$C$23="Rare")/INDEX('Rebirth Odds'!$C$9:$AB$27,0,$A9+1)),"-")</f>
        <v>5.3145160842338184</v>
      </c>
      <c r="J9" s="18">
        <f>IFERROR(1/SUMPRODUCT((Sheep!$C$5:$C$23="Epic")/INDEX('Rebirth Odds'!$C$9:$AB$27,0,$A9+1)),"-")</f>
        <v>8.1112462074887972</v>
      </c>
      <c r="K9" s="18">
        <f>IFERROR(1/SUMPRODUCT((Sheep!$C$5:$C$23="Legendary")/INDEX('Rebirth Odds'!$C$9:$AB$27,0,$A9+1)),"-")</f>
        <v>57.566087266246868</v>
      </c>
      <c r="L9" s="18">
        <f>IFERROR(1/SUMPRODUCT((Sheep!$C$5:$C$23="Mythic")/INDEX('Rebirth Odds'!$C$9:$AB$27,0,$A9+1)),"-")</f>
        <v>154.11069119167968</v>
      </c>
      <c r="M9" s="15">
        <f>C9*Settings!$B$24*SUMPRODUCT(Sheep!$F$5:$F$23/INDEX('Rebirth Odds'!$C$9:$AB$27,0,$A9+1))</f>
        <v>95.652198793537138</v>
      </c>
      <c r="N9" s="14">
        <f t="shared" si="0"/>
        <v>423.40898077438061</v>
      </c>
      <c r="O9" s="7" t="str">
        <f>IF(ISNUMBER(N9),INDEX(Sheep!$A$5:$A$23,MATCH(P9,INDEX('Rebirth Odds'!$C$9:$AB$27,0,$A9+1),0)),"-")</f>
        <v>Vampire Sheep</v>
      </c>
      <c r="P9" s="18">
        <f>IF(ISNUMBER(N9),_xlfn.MAXIFS(INDEX('Rebirth Odds'!$C$9:$AB$27,0,$A9+1),INDEX('Rebirth Odds'!$C$9:$AB$27,0,$A9+1),"&lt;="&amp;N9),"-")</f>
        <v>402.96261086372806</v>
      </c>
    </row>
    <row r="10" spans="1:16" x14ac:dyDescent="0.25">
      <c r="A10" s="7">
        <v>4</v>
      </c>
      <c r="B10" s="14">
        <f>IF(A10&gt;=Settings!$B$15,"max",FLOOR(Settings!$B$16*Settings!$B$17^A10,1))</f>
        <v>121500</v>
      </c>
      <c r="C10" s="35">
        <f>Settings!$B$18^A10</f>
        <v>5.0625</v>
      </c>
      <c r="D10" s="14">
        <f>IF(A10=0,0,FLOOR(Settings!$B$19*Settings!$B$20^(A10-1)*IF(MOD(A10,Settings!$B$21)=0,Settings!$B$22,1),1))</f>
        <v>152</v>
      </c>
      <c r="E10" s="14">
        <f>SUM($D$6:D10)</f>
        <v>379</v>
      </c>
      <c r="F10" s="20">
        <f>1+Settings!$B$14*LOG10(1+E10)</f>
        <v>2.2898917983084051</v>
      </c>
      <c r="G10" s="18">
        <f>IFERROR(1/SUMPRODUCT((Sheep!$C$5:$C$23="Common")/INDEX('Rebirth Odds'!$C$9:$AB$27,0,$A10+1)),"-")</f>
        <v>2.5626384682598502</v>
      </c>
      <c r="H10" s="18">
        <f>IFERROR(1/SUMPRODUCT((Sheep!$C$5:$C$23="Uncommon")/INDEX('Rebirth Odds'!$C$9:$AB$27,0,$A10+1)),"-")</f>
        <v>3.9968177756460705</v>
      </c>
      <c r="I10" s="18">
        <f>IFERROR(1/SUMPRODUCT((Sheep!$C$5:$C$23="Rare")/INDEX('Rebirth Odds'!$C$9:$AB$27,0,$A10+1)),"-")</f>
        <v>5.0908017521086713</v>
      </c>
      <c r="J10" s="18">
        <f>IFERROR(1/SUMPRODUCT((Sheep!$C$5:$C$23="Epic")/INDEX('Rebirth Odds'!$C$9:$AB$27,0,$A10+1)),"-")</f>
        <v>7.3934275088664725</v>
      </c>
      <c r="K10" s="18">
        <f>IFERROR(1/SUMPRODUCT((Sheep!$C$5:$C$23="Legendary")/INDEX('Rebirth Odds'!$C$9:$AB$27,0,$A10+1)),"-")</f>
        <v>49.929903015256862</v>
      </c>
      <c r="L10" s="18">
        <f>IFERROR(1/SUMPRODUCT((Sheep!$C$5:$C$23="Mythic")/INDEX('Rebirth Odds'!$C$9:$AB$27,0,$A10+1)),"-")</f>
        <v>127.19280788907015</v>
      </c>
      <c r="M10" s="15">
        <f>C10*Settings!$B$24*SUMPRODUCT(Sheep!$F$5:$F$23/INDEX('Rebirth Odds'!$C$9:$AB$27,0,$A10+1))</f>
        <v>148.21368302383681</v>
      </c>
      <c r="N10" s="14">
        <f t="shared" si="0"/>
        <v>819.76236958135291</v>
      </c>
      <c r="O10" s="7" t="str">
        <f>IF(ISNUMBER(N10),INDEX(Sheep!$A$5:$A$23,MATCH(P10,INDEX('Rebirth Odds'!$C$9:$AB$27,0,$A10+1),0)),"-")</f>
        <v>Obsidian Sheep</v>
      </c>
      <c r="P10" s="18">
        <f>IF(ISNUMBER(N10),_xlfn.MAXIFS(INDEX('Rebirth Odds'!$C$9:$AB$27,0,$A10+1),INDEX('Rebirth Odds'!$C$9:$AB$27,0,$A10+1),"&lt;="&amp;N10),"-")</f>
        <v>508.77123155628072</v>
      </c>
    </row>
    <row r="11" spans="1:16" x14ac:dyDescent="0.25">
      <c r="A11" s="7">
        <v>5</v>
      </c>
      <c r="B11" s="14">
        <f>IF(A11&gt;=Settings!$B$15,"max",FLOOR(Settings!$B$16*Settings!$B$17^A11,1))</f>
        <v>364500</v>
      </c>
      <c r="C11" s="35">
        <f>Settings!$B$18^A11</f>
        <v>7.59375</v>
      </c>
      <c r="D11" s="14">
        <f>IF(A11=0,0,FLOOR(Settings!$B$19*Settings!$B$20^(A11-1)*IF(MOD(A11,Settings!$B$21)=0,Settings!$B$22,1),1))</f>
        <v>442</v>
      </c>
      <c r="E11" s="14">
        <f>SUM($D$6:D11)</f>
        <v>821</v>
      </c>
      <c r="F11" s="20">
        <f>1+Settings!$B$14*LOG10(1+E11)</f>
        <v>2.4574359087700253</v>
      </c>
      <c r="G11" s="18">
        <f>IFERROR(1/SUMPRODUCT((Sheep!$C$5:$C$23="Common")/INDEX('Rebirth Odds'!$C$9:$AB$27,0,$A11+1)),"-")</f>
        <v>2.7929741158137413</v>
      </c>
      <c r="H11" s="18">
        <f>IFERROR(1/SUMPRODUCT((Sheep!$C$5:$C$23="Uncommon")/INDEX('Rebirth Odds'!$C$9:$AB$27,0,$A11+1)),"-")</f>
        <v>4.0590712949540171</v>
      </c>
      <c r="I11" s="18">
        <f>IFERROR(1/SUMPRODUCT((Sheep!$C$5:$C$23="Rare")/INDEX('Rebirth Odds'!$C$9:$AB$27,0,$A11+1)),"-")</f>
        <v>4.8176059857208715</v>
      </c>
      <c r="J11" s="18">
        <f>IFERROR(1/SUMPRODUCT((Sheep!$C$5:$C$23="Epic")/INDEX('Rebirth Odds'!$C$9:$AB$27,0,$A11+1)),"-")</f>
        <v>6.5196408686877243</v>
      </c>
      <c r="K11" s="18">
        <f>IFERROR(1/SUMPRODUCT((Sheep!$C$5:$C$23="Legendary")/INDEX('Rebirth Odds'!$C$9:$AB$27,0,$A11+1)),"-")</f>
        <v>41.027148984073911</v>
      </c>
      <c r="L11" s="18">
        <f>IFERROR(1/SUMPRODUCT((Sheep!$C$5:$C$23="Mythic")/INDEX('Rebirth Odds'!$C$9:$AB$27,0,$A11+1)),"-")</f>
        <v>97.388108835854069</v>
      </c>
      <c r="M11" s="15">
        <f>C11*Settings!$B$24*SUMPRODUCT(Sheep!$F$5:$F$23/INDEX('Rebirth Odds'!$C$9:$AB$27,0,$A11+1))</f>
        <v>233.14406563069346</v>
      </c>
      <c r="N11" s="14">
        <f t="shared" si="0"/>
        <v>1563.4110137608131</v>
      </c>
      <c r="O11" s="7" t="str">
        <f>IF(ISNUMBER(N11),INDEX(Sheep!$A$5:$A$23,MATCH(P11,INDEX('Rebirth Odds'!$C$9:$AB$27,0,$A11+1),0)),"-")</f>
        <v>Obsidian Sheep</v>
      </c>
      <c r="P11" s="18">
        <f>IF(ISNUMBER(N11),_xlfn.MAXIFS(INDEX('Rebirth Odds'!$C$9:$AB$27,0,$A11+1),INDEX('Rebirth Odds'!$C$9:$AB$27,0,$A11+1),"&lt;="&amp;N11),"-")</f>
        <v>389.55243534341628</v>
      </c>
    </row>
    <row r="12" spans="1:16" x14ac:dyDescent="0.25">
      <c r="A12" s="7">
        <v>6</v>
      </c>
      <c r="B12" s="14">
        <f>IF(A12&gt;=Settings!$B$15,"max",FLOOR(Settings!$B$16*Settings!$B$17^A12,1))</f>
        <v>1093500</v>
      </c>
      <c r="C12" s="35">
        <f>Settings!$B$18^A12</f>
        <v>11.390625</v>
      </c>
      <c r="D12" s="14">
        <f>IF(A12=0,0,FLOOR(Settings!$B$19*Settings!$B$20^(A12-1)*IF(MOD(A12,Settings!$B$21)=0,Settings!$B$22,1),1))</f>
        <v>320</v>
      </c>
      <c r="E12" s="14">
        <f>SUM($D$6:D12)</f>
        <v>1141</v>
      </c>
      <c r="F12" s="20">
        <f>1+Settings!$B$14*LOG10(1+E12)</f>
        <v>2.5288330519549147</v>
      </c>
      <c r="G12" s="18">
        <f>IFERROR(1/SUMPRODUCT((Sheep!$C$5:$C$23="Common")/INDEX('Rebirth Odds'!$C$9:$AB$27,0,$A12+1)),"-")</f>
        <v>2.8982544435102633</v>
      </c>
      <c r="H12" s="18">
        <f>IFERROR(1/SUMPRODUCT((Sheep!$C$5:$C$23="Uncommon")/INDEX('Rebirth Odds'!$C$9:$AB$27,0,$A12+1)),"-")</f>
        <v>4.0931562163902422</v>
      </c>
      <c r="I12" s="18">
        <f>IFERROR(1/SUMPRODUCT((Sheep!$C$5:$C$23="Rare")/INDEX('Rebirth Odds'!$C$9:$AB$27,0,$A12+1)),"-")</f>
        <v>4.7209017173260674</v>
      </c>
      <c r="J12" s="18">
        <f>IFERROR(1/SUMPRODUCT((Sheep!$C$5:$C$23="Epic")/INDEX('Rebirth Odds'!$C$9:$AB$27,0,$A12+1)),"-")</f>
        <v>6.2083957899821334</v>
      </c>
      <c r="K12" s="18">
        <f>IFERROR(1/SUMPRODUCT((Sheep!$C$5:$C$23="Legendary")/INDEX('Rebirth Odds'!$C$9:$AB$27,0,$A12+1)),"-")</f>
        <v>37.965498058257737</v>
      </c>
      <c r="L12" s="18">
        <f>IFERROR(1/SUMPRODUCT((Sheep!$C$5:$C$23="Mythic")/INDEX('Rebirth Odds'!$C$9:$AB$27,0,$A12+1)),"-")</f>
        <v>87.576127324274296</v>
      </c>
      <c r="M12" s="15">
        <f>C12*Settings!$B$24*SUMPRODUCT(Sheep!$F$5:$F$23/INDEX('Rebirth Odds'!$C$9:$AB$27,0,$A12+1))</f>
        <v>356.66490194675293</v>
      </c>
      <c r="N12" s="14">
        <f t="shared" si="0"/>
        <v>3065.9030199816252</v>
      </c>
      <c r="O12" s="7" t="str">
        <f>IF(ISNUMBER(N12),INDEX(Sheep!$A$5:$A$23,MATCH(P12,INDEX('Rebirth Odds'!$C$9:$AB$27,0,$A12+1),0)),"-")</f>
        <v>Obsidian Sheep</v>
      </c>
      <c r="P12" s="18">
        <f>IF(ISNUMBER(N12),_xlfn.MAXIFS(INDEX('Rebirth Odds'!$C$9:$AB$27,0,$A12+1),INDEX('Rebirth Odds'!$C$9:$AB$27,0,$A12+1),"&lt;="&amp;N12),"-")</f>
        <v>350.30450929709718</v>
      </c>
    </row>
    <row r="13" spans="1:16" x14ac:dyDescent="0.25">
      <c r="A13" s="7">
        <v>7</v>
      </c>
      <c r="B13" s="14">
        <f>IF(A13&gt;=Settings!$B$15,"max",FLOOR(Settings!$B$16*Settings!$B$17^A13,1))</f>
        <v>3280500</v>
      </c>
      <c r="C13" s="35">
        <f>Settings!$B$18^A13</f>
        <v>17.0859375</v>
      </c>
      <c r="D13" s="14">
        <f>IF(A13=0,0,FLOOR(Settings!$B$19*Settings!$B$20^(A13-1)*IF(MOD(A13,Settings!$B$21)=0,Settings!$B$22,1),1))</f>
        <v>464</v>
      </c>
      <c r="E13" s="14">
        <f>SUM($D$6:D13)</f>
        <v>1605</v>
      </c>
      <c r="F13" s="20">
        <f>1+Settings!$B$14*LOG10(1+E13)</f>
        <v>2.6028727704713308</v>
      </c>
      <c r="G13" s="18">
        <f>IFERROR(1/SUMPRODUCT((Sheep!$C$5:$C$23="Common")/INDEX('Rebirth Odds'!$C$9:$AB$27,0,$A13+1)),"-")</f>
        <v>3.0121541443696516</v>
      </c>
      <c r="H13" s="18">
        <f>IFERROR(1/SUMPRODUCT((Sheep!$C$5:$C$23="Uncommon")/INDEX('Rebirth Odds'!$C$9:$AB$27,0,$A13+1)),"-")</f>
        <v>4.133007765416342</v>
      </c>
      <c r="I13" s="18">
        <f>IFERROR(1/SUMPRODUCT((Sheep!$C$5:$C$23="Rare")/INDEX('Rebirth Odds'!$C$9:$AB$27,0,$A13+1)),"-")</f>
        <v>4.6312697720839697</v>
      </c>
      <c r="J13" s="18">
        <f>IFERROR(1/SUMPRODUCT((Sheep!$C$5:$C$23="Epic")/INDEX('Rebirth Odds'!$C$9:$AB$27,0,$A13+1)),"-")</f>
        <v>5.9172747529281926</v>
      </c>
      <c r="K13" s="18">
        <f>IFERROR(1/SUMPRODUCT((Sheep!$C$5:$C$23="Legendary")/INDEX('Rebirth Odds'!$C$9:$AB$27,0,$A13+1)),"-")</f>
        <v>35.155935575230174</v>
      </c>
      <c r="L13" s="18">
        <f>IFERROR(1/SUMPRODUCT((Sheep!$C$5:$C$23="Mythic")/INDEX('Rebirth Odds'!$C$9:$AB$27,0,$A13+1)),"-")</f>
        <v>78.788442209710439</v>
      </c>
      <c r="M13" s="15">
        <f>C13*Settings!$B$24*SUMPRODUCT(Sheep!$F$5:$F$23/INDEX('Rebirth Odds'!$C$9:$AB$27,0,$A13+1))</f>
        <v>545.81822899756128</v>
      </c>
      <c r="N13" s="14">
        <f t="shared" si="0"/>
        <v>6010.2426517064114</v>
      </c>
      <c r="O13" s="7" t="str">
        <f>IF(ISNUMBER(N13),INDEX(Sheep!$A$5:$A$23,MATCH(P13,INDEX('Rebirth Odds'!$C$9:$AB$27,0,$A13+1),0)),"-")</f>
        <v>Obsidian Sheep</v>
      </c>
      <c r="P13" s="18">
        <f>IF(ISNUMBER(N13),_xlfn.MAXIFS(INDEX('Rebirth Odds'!$C$9:$AB$27,0,$A13+1),INDEX('Rebirth Odds'!$C$9:$AB$27,0,$A13+1),"&lt;="&amp;N13),"-")</f>
        <v>315.15376883884176</v>
      </c>
    </row>
    <row r="14" spans="1:16" x14ac:dyDescent="0.25">
      <c r="A14" s="7">
        <v>8</v>
      </c>
      <c r="B14" s="14">
        <f>IF(A14&gt;=Settings!$B$15,"max",FLOOR(Settings!$B$16*Settings!$B$17^A14,1))</f>
        <v>9841500</v>
      </c>
      <c r="C14" s="35">
        <f>Settings!$B$18^A14</f>
        <v>25.62890625</v>
      </c>
      <c r="D14" s="14">
        <f>IF(A14=0,0,FLOOR(Settings!$B$19*Settings!$B$20^(A14-1)*IF(MOD(A14,Settings!$B$21)=0,Settings!$B$22,1),1))</f>
        <v>673</v>
      </c>
      <c r="E14" s="14">
        <f>SUM($D$6:D14)</f>
        <v>2278</v>
      </c>
      <c r="F14" s="20">
        <f>1+Settings!$B$14*LOG10(1+E14)</f>
        <v>2.6788721625901877</v>
      </c>
      <c r="G14" s="18">
        <f>IFERROR(1/SUMPRODUCT((Sheep!$C$5:$C$23="Common")/INDEX('Rebirth Odds'!$C$9:$AB$27,0,$A14+1)),"-")</f>
        <v>3.1342441714718698</v>
      </c>
      <c r="H14" s="18">
        <f>IFERROR(1/SUMPRODUCT((Sheep!$C$5:$C$23="Uncommon")/INDEX('Rebirth Odds'!$C$9:$AB$27,0,$A14+1)),"-")</f>
        <v>4.1785230889871761</v>
      </c>
      <c r="I14" s="18">
        <f>IFERROR(1/SUMPRODUCT((Sheep!$C$5:$C$23="Rare")/INDEX('Rebirth Odds'!$C$9:$AB$27,0,$A14+1)),"-")</f>
        <v>4.5494365799680558</v>
      </c>
      <c r="J14" s="18">
        <f>IFERROR(1/SUMPRODUCT((Sheep!$C$5:$C$23="Epic")/INDEX('Rebirth Odds'!$C$9:$AB$27,0,$A14+1)),"-")</f>
        <v>5.6478118682596463</v>
      </c>
      <c r="K14" s="18">
        <f>IFERROR(1/SUMPRODUCT((Sheep!$C$5:$C$23="Legendary")/INDEX('Rebirth Odds'!$C$9:$AB$27,0,$A14+1)),"-")</f>
        <v>32.603040044603318</v>
      </c>
      <c r="L14" s="18">
        <f>IFERROR(1/SUMPRODUCT((Sheep!$C$5:$C$23="Mythic")/INDEX('Rebirth Odds'!$C$9:$AB$27,0,$A14+1)),"-")</f>
        <v>70.994205291340862</v>
      </c>
      <c r="M14" s="15">
        <f>C14*Settings!$B$24*SUMPRODUCT(Sheep!$F$5:$F$23/INDEX('Rebirth Odds'!$C$9:$AB$27,0,$A14+1))</f>
        <v>835.38987865228353</v>
      </c>
      <c r="N14" s="14">
        <f t="shared" si="0"/>
        <v>11780.726881533541</v>
      </c>
      <c r="O14" s="7" t="str">
        <f>IF(ISNUMBER(N14),INDEX(Sheep!$A$5:$A$23,MATCH(P14,INDEX('Rebirth Odds'!$C$9:$AB$27,0,$A14+1),0)),"-")</f>
        <v>Obsidian Sheep</v>
      </c>
      <c r="P14" s="18">
        <f>IF(ISNUMBER(N14),_xlfn.MAXIFS(INDEX('Rebirth Odds'!$C$9:$AB$27,0,$A14+1),INDEX('Rebirth Odds'!$C$9:$AB$27,0,$A14+1),"&lt;="&amp;N14),"-")</f>
        <v>283.97682116536345</v>
      </c>
    </row>
    <row r="15" spans="1:16" x14ac:dyDescent="0.25">
      <c r="A15" s="7">
        <v>9</v>
      </c>
      <c r="B15" s="14">
        <f>IF(A15&gt;=Settings!$B$15,"max",FLOOR(Settings!$B$16*Settings!$B$17^A15,1))</f>
        <v>29524500</v>
      </c>
      <c r="C15" s="35">
        <f>Settings!$B$18^A15</f>
        <v>38.443359375</v>
      </c>
      <c r="D15" s="14">
        <f>IF(A15=0,0,FLOOR(Settings!$B$19*Settings!$B$20^(A15-1)*IF(MOD(A15,Settings!$B$21)=0,Settings!$B$22,1),1))</f>
        <v>977</v>
      </c>
      <c r="E15" s="14">
        <f>SUM($D$6:D15)</f>
        <v>3255</v>
      </c>
      <c r="F15" s="20">
        <f>1+Settings!$B$14*LOG10(1+E15)</f>
        <v>2.7563421981085821</v>
      </c>
      <c r="G15" s="18">
        <f>IFERROR(1/SUMPRODUCT((Sheep!$C$5:$C$23="Common")/INDEX('Rebirth Odds'!$C$9:$AB$27,0,$A15+1)),"-")</f>
        <v>3.264285000080708</v>
      </c>
      <c r="H15" s="18">
        <f>IFERROR(1/SUMPRODUCT((Sheep!$C$5:$C$23="Uncommon")/INDEX('Rebirth Odds'!$C$9:$AB$27,0,$A15+1)),"-")</f>
        <v>4.2295766913752049</v>
      </c>
      <c r="I15" s="18">
        <f>IFERROR(1/SUMPRODUCT((Sheep!$C$5:$C$23="Rare")/INDEX('Rebirth Odds'!$C$9:$AB$27,0,$A15+1)),"-")</f>
        <v>4.4755928194654375</v>
      </c>
      <c r="J15" s="18">
        <f>IFERROR(1/SUMPRODUCT((Sheep!$C$5:$C$23="Epic")/INDEX('Rebirth Odds'!$C$9:$AB$27,0,$A15+1)),"-")</f>
        <v>5.3999784937833359</v>
      </c>
      <c r="K15" s="18">
        <f>IFERROR(1/SUMPRODUCT((Sheep!$C$5:$C$23="Legendary")/INDEX('Rebirth Odds'!$C$9:$AB$27,0,$A15+1)),"-")</f>
        <v>30.296242003683929</v>
      </c>
      <c r="L15" s="18">
        <f>IFERROR(1/SUMPRODUCT((Sheep!$C$5:$C$23="Mythic")/INDEX('Rebirth Odds'!$C$9:$AB$27,0,$A15+1)),"-")</f>
        <v>64.116885949826838</v>
      </c>
      <c r="M15" s="15">
        <f>C15*Settings!$B$24*SUMPRODUCT(Sheep!$F$5:$F$23/INDEX('Rebirth Odds'!$C$9:$AB$27,0,$A15+1))</f>
        <v>1278.5390153726958</v>
      </c>
      <c r="N15" s="14">
        <f t="shared" si="0"/>
        <v>23092.373126676601</v>
      </c>
      <c r="O15" s="7" t="str">
        <f>IF(ISNUMBER(N15),INDEX(Sheep!$A$5:$A$23,MATCH(P15,INDEX('Rebirth Odds'!$C$9:$AB$27,0,$A15+1),0)),"-")</f>
        <v>Obsidian Sheep</v>
      </c>
      <c r="P15" s="18">
        <f>IF(ISNUMBER(N15),_xlfn.MAXIFS(INDEX('Rebirth Odds'!$C$9:$AB$27,0,$A15+1),INDEX('Rebirth Odds'!$C$9:$AB$27,0,$A15+1),"&lt;="&amp;N15),"-")</f>
        <v>256.46754379930729</v>
      </c>
    </row>
    <row r="16" spans="1:16" x14ac:dyDescent="0.25">
      <c r="A16" s="7">
        <v>10</v>
      </c>
      <c r="B16" s="14">
        <f>IF(A16&gt;=Settings!$B$15,"max",FLOOR(Settings!$B$16*Settings!$B$17^A16,1))</f>
        <v>88573500</v>
      </c>
      <c r="C16" s="35">
        <f>Settings!$B$18^A16</f>
        <v>57.6650390625</v>
      </c>
      <c r="D16" s="14">
        <f>IF(A16=0,0,FLOOR(Settings!$B$19*Settings!$B$20^(A16-1)*IF(MOD(A16,Settings!$B$21)=0,Settings!$B$22,1),1))</f>
        <v>2833</v>
      </c>
      <c r="E16" s="14">
        <f>SUM($D$6:D16)</f>
        <v>6088</v>
      </c>
      <c r="F16" s="20">
        <f>1+Settings!$B$14*LOG10(1+E16)</f>
        <v>2.892272987027261</v>
      </c>
      <c r="G16" s="18">
        <f>IFERROR(1/SUMPRODUCT((Sheep!$C$5:$C$23="Common")/INDEX('Rebirth Odds'!$C$9:$AB$27,0,$A16+1)),"-")</f>
        <v>3.5067064258185163</v>
      </c>
      <c r="H16" s="18">
        <f>IFERROR(1/SUMPRODUCT((Sheep!$C$5:$C$23="Uncommon")/INDEX('Rebirth Odds'!$C$9:$AB$27,0,$A16+1)),"-")</f>
        <v>4.3301415796344989</v>
      </c>
      <c r="I16" s="18">
        <f>IFERROR(1/SUMPRODUCT((Sheep!$C$5:$C$23="Rare")/INDEX('Rebirth Odds'!$C$9:$AB$27,0,$A16+1)),"-")</f>
        <v>4.366662366904805</v>
      </c>
      <c r="J16" s="18">
        <f>IFERROR(1/SUMPRODUCT((Sheep!$C$5:$C$23="Epic")/INDEX('Rebirth Odds'!$C$9:$AB$27,0,$A16+1)),"-")</f>
        <v>5.0209387977922439</v>
      </c>
      <c r="K16" s="18">
        <f>IFERROR(1/SUMPRODUCT((Sheep!$C$5:$C$23="Legendary")/INDEX('Rebirth Odds'!$C$9:$AB$27,0,$A16+1)),"-")</f>
        <v>26.845748126564942</v>
      </c>
      <c r="L16" s="18">
        <f>IFERROR(1/SUMPRODUCT((Sheep!$C$5:$C$23="Mythic")/INDEX('Rebirth Odds'!$C$9:$AB$27,0,$A16+1)),"-")</f>
        <v>54.144334959861148</v>
      </c>
      <c r="M16" s="15">
        <f>C16*Settings!$B$24*SUMPRODUCT(Sheep!$F$5:$F$23/INDEX('Rebirth Odds'!$C$9:$AB$27,0,$A16+1))</f>
        <v>1984.6080546210931</v>
      </c>
      <c r="N16" s="14">
        <f t="shared" si="0"/>
        <v>44630.222977156416</v>
      </c>
      <c r="O16" s="7" t="str">
        <f>IF(ISNUMBER(N16),INDEX(Sheep!$A$5:$A$23,MATCH(P16,INDEX('Rebirth Odds'!$C$9:$AB$27,0,$A16+1),0)),"-")</f>
        <v>Obsidian Sheep</v>
      </c>
      <c r="P16" s="18">
        <f>IF(ISNUMBER(N16),_xlfn.MAXIFS(INDEX('Rebirth Odds'!$C$9:$AB$27,0,$A16+1),INDEX('Rebirth Odds'!$C$9:$AB$27,0,$A16+1),"&lt;="&amp;N16),"-")</f>
        <v>216.57733983944459</v>
      </c>
    </row>
    <row r="17" spans="1:16" x14ac:dyDescent="0.25">
      <c r="A17" s="7">
        <v>11</v>
      </c>
      <c r="B17" s="14">
        <f>IF(A17&gt;=Settings!$B$15,"max",FLOOR(Settings!$B$16*Settings!$B$17^A17,1))</f>
        <v>265720500</v>
      </c>
      <c r="C17" s="35">
        <f>Settings!$B$18^A17</f>
        <v>86.49755859375</v>
      </c>
      <c r="D17" s="14">
        <f>IF(A17=0,0,FLOOR(Settings!$B$19*Settings!$B$20^(A17-1)*IF(MOD(A17,Settings!$B$21)=0,Settings!$B$22,1),1))</f>
        <v>2054</v>
      </c>
      <c r="E17" s="14">
        <f>SUM($D$6:D17)</f>
        <v>8142</v>
      </c>
      <c r="F17" s="20">
        <f>1+Settings!$B$14*LOG10(1+E17)</f>
        <v>2.9553922173964189</v>
      </c>
      <c r="G17" s="18">
        <f>IFERROR(1/SUMPRODUCT((Sheep!$C$5:$C$23="Common")/INDEX('Rebirth Odds'!$C$9:$AB$27,0,$A17+1)),"-")</f>
        <v>3.6257077449835768</v>
      </c>
      <c r="H17" s="18">
        <f>IFERROR(1/SUMPRODUCT((Sheep!$C$5:$C$23="Uncommon")/INDEX('Rebirth Odds'!$C$9:$AB$27,0,$A17+1)),"-")</f>
        <v>4.3814679337186959</v>
      </c>
      <c r="I17" s="18">
        <f>IFERROR(1/SUMPRODUCT((Sheep!$C$5:$C$23="Rare")/INDEX('Rebirth Odds'!$C$9:$AB$27,0,$A17+1)),"-")</f>
        <v>4.3240560079041641</v>
      </c>
      <c r="J17" s="18">
        <f>IFERROR(1/SUMPRODUCT((Sheep!$C$5:$C$23="Epic")/INDEX('Rebirth Odds'!$C$9:$AB$27,0,$A17+1)),"-")</f>
        <v>4.8657610880145832</v>
      </c>
      <c r="K17" s="18">
        <f>IFERROR(1/SUMPRODUCT((Sheep!$C$5:$C$23="Legendary")/INDEX('Rebirth Odds'!$C$9:$AB$27,0,$A17+1)),"-")</f>
        <v>25.460417483537768</v>
      </c>
      <c r="L17" s="18">
        <f>IFERROR(1/SUMPRODUCT((Sheep!$C$5:$C$23="Mythic")/INDEX('Rebirth Odds'!$C$9:$AB$27,0,$A17+1)),"-")</f>
        <v>50.253601235420099</v>
      </c>
      <c r="M17" s="15">
        <f>C17*Settings!$B$24*SUMPRODUCT(Sheep!$F$5:$F$23/INDEX('Rebirth Odds'!$C$9:$AB$27,0,$A17+1))</f>
        <v>3023.2517233481808</v>
      </c>
      <c r="N17" s="14">
        <f t="shared" si="0"/>
        <v>87892.284306951697</v>
      </c>
      <c r="O17" s="7" t="str">
        <f>IF(ISNUMBER(N17),INDEX(Sheep!$A$5:$A$23,MATCH(P17,INDEX('Rebirth Odds'!$C$9:$AB$27,0,$A17+1),0)),"-")</f>
        <v>Obsidian Sheep</v>
      </c>
      <c r="P17" s="18">
        <f>IF(ISNUMBER(N17),_xlfn.MAXIFS(INDEX('Rebirth Odds'!$C$9:$AB$27,0,$A17+1),INDEX('Rebirth Odds'!$C$9:$AB$27,0,$A17+1),"&lt;="&amp;N17),"-")</f>
        <v>201.01440494168043</v>
      </c>
    </row>
    <row r="18" spans="1:16" x14ac:dyDescent="0.25">
      <c r="A18" s="7">
        <v>12</v>
      </c>
      <c r="B18" s="14">
        <f>IF(A18&gt;=Settings!$B$15,"max",FLOOR(Settings!$B$16*Settings!$B$17^A18,1))</f>
        <v>797161500</v>
      </c>
      <c r="C18" s="35">
        <f>Settings!$B$18^A18</f>
        <v>129.746337890625</v>
      </c>
      <c r="D18" s="14">
        <f>IF(A18=0,0,FLOOR(Settings!$B$19*Settings!$B$20^(A18-1)*IF(MOD(A18,Settings!$B$21)=0,Settings!$B$22,1),1))</f>
        <v>2978</v>
      </c>
      <c r="E18" s="14">
        <f>SUM($D$6:D18)</f>
        <v>11120</v>
      </c>
      <c r="F18" s="20">
        <f>1+Settings!$B$14*LOG10(1+E18)</f>
        <v>3.0230719203746133</v>
      </c>
      <c r="G18" s="18">
        <f>IFERROR(1/SUMPRODUCT((Sheep!$C$5:$C$23="Common")/INDEX('Rebirth Odds'!$C$9:$AB$27,0,$A18+1)),"-")</f>
        <v>3.7580232700740228</v>
      </c>
      <c r="H18" s="18">
        <f>IFERROR(1/SUMPRODUCT((Sheep!$C$5:$C$23="Uncommon")/INDEX('Rebirth Odds'!$C$9:$AB$27,0,$A18+1)),"-")</f>
        <v>4.4396931440429075</v>
      </c>
      <c r="I18" s="18">
        <f>IFERROR(1/SUMPRODUCT((Sheep!$C$5:$C$23="Rare")/INDEX('Rebirth Odds'!$C$9:$AB$27,0,$A18+1)),"-")</f>
        <v>4.2834260462628535</v>
      </c>
      <c r="J18" s="18">
        <f>IFERROR(1/SUMPRODUCT((Sheep!$C$5:$C$23="Epic")/INDEX('Rebirth Odds'!$C$9:$AB$27,0,$A18+1)),"-")</f>
        <v>4.7121313682665829</v>
      </c>
      <c r="K18" s="18">
        <f>IFERROR(1/SUMPRODUCT((Sheep!$C$5:$C$23="Legendary")/INDEX('Rebirth Odds'!$C$9:$AB$27,0,$A18+1)),"-")</f>
        <v>24.104535955959872</v>
      </c>
      <c r="L18" s="18">
        <f>IFERROR(1/SUMPRODUCT((Sheep!$C$5:$C$23="Mythic")/INDEX('Rebirth Odds'!$C$9:$AB$27,0,$A18+1)),"-")</f>
        <v>46.512222262647498</v>
      </c>
      <c r="M18" s="15">
        <f>C18*Settings!$B$24*SUMPRODUCT(Sheep!$F$5:$F$23/INDEX('Rebirth Odds'!$C$9:$AB$27,0,$A18+1))</f>
        <v>4609.1540927659862</v>
      </c>
      <c r="N18" s="14">
        <f t="shared" si="0"/>
        <v>172951.80068966141</v>
      </c>
      <c r="O18" s="7" t="str">
        <f>IF(ISNUMBER(N18),INDEX(Sheep!$A$5:$A$23,MATCH(P18,INDEX('Rebirth Odds'!$C$9:$AB$27,0,$A18+1),0)),"-")</f>
        <v>Obsidian Sheep</v>
      </c>
      <c r="P18" s="18">
        <f>IF(ISNUMBER(N18),_xlfn.MAXIFS(INDEX('Rebirth Odds'!$C$9:$AB$27,0,$A18+1),INDEX('Rebirth Odds'!$C$9:$AB$27,0,$A18+1),"&lt;="&amp;N18),"-")</f>
        <v>186.04888905058999</v>
      </c>
    </row>
    <row r="19" spans="1:16" x14ac:dyDescent="0.25">
      <c r="A19" s="7">
        <v>13</v>
      </c>
      <c r="B19" s="14">
        <f>IF(A19&gt;=Settings!$B$15,"max",FLOOR(Settings!$B$16*Settings!$B$17^A19,1))</f>
        <v>2391484500</v>
      </c>
      <c r="C19" s="35">
        <f>Settings!$B$18^A19</f>
        <v>194.6195068359375</v>
      </c>
      <c r="D19" s="14">
        <f>IF(A19=0,0,FLOOR(Settings!$B$19*Settings!$B$20^(A19-1)*IF(MOD(A19,Settings!$B$21)=0,Settings!$B$22,1),1))</f>
        <v>4319</v>
      </c>
      <c r="E19" s="14">
        <f>SUM($D$6:D19)</f>
        <v>15439</v>
      </c>
      <c r="F19" s="20">
        <f>1+Settings!$B$14*LOG10(1+E19)</f>
        <v>3.0943236479998588</v>
      </c>
      <c r="G19" s="18">
        <f>IFERROR(1/SUMPRODUCT((Sheep!$C$5:$C$23="Common")/INDEX('Rebirth Odds'!$C$9:$AB$27,0,$A19+1)),"-")</f>
        <v>3.9027556517840969</v>
      </c>
      <c r="H19" s="18">
        <f>IFERROR(1/SUMPRODUCT((Sheep!$C$5:$C$23="Uncommon")/INDEX('Rebirth Odds'!$C$9:$AB$27,0,$A19+1)),"-")</f>
        <v>4.5045103963496889</v>
      </c>
      <c r="I19" s="18">
        <f>IFERROR(1/SUMPRODUCT((Sheep!$C$5:$C$23="Rare")/INDEX('Rebirth Odds'!$C$9:$AB$27,0,$A19+1)),"-")</f>
        <v>4.2458891884754753</v>
      </c>
      <c r="J19" s="18">
        <f>IFERROR(1/SUMPRODUCT((Sheep!$C$5:$C$23="Epic")/INDEX('Rebirth Odds'!$C$9:$AB$27,0,$A19+1)),"-")</f>
        <v>4.5632841741365811</v>
      </c>
      <c r="K19" s="18">
        <f>IFERROR(1/SUMPRODUCT((Sheep!$C$5:$C$23="Legendary")/INDEX('Rebirth Odds'!$C$9:$AB$27,0,$A19+1)),"-")</f>
        <v>22.805607393376857</v>
      </c>
      <c r="L19" s="18">
        <f>IFERROR(1/SUMPRODUCT((Sheep!$C$5:$C$23="Mythic")/INDEX('Rebirth Odds'!$C$9:$AB$27,0,$A19+1)),"-")</f>
        <v>42.992500115716531</v>
      </c>
      <c r="M19" s="15">
        <f>C19*Settings!$B$24*SUMPRODUCT(Sheep!$F$5:$F$23/INDEX('Rebirth Odds'!$C$9:$AB$27,0,$A19+1))</f>
        <v>7030.5332795404884</v>
      </c>
      <c r="N19" s="14">
        <f t="shared" si="0"/>
        <v>340156.91341074288</v>
      </c>
      <c r="O19" s="7" t="str">
        <f>IF(ISNUMBER(N19),INDEX(Sheep!$A$5:$A$23,MATCH(P19,INDEX('Rebirth Odds'!$C$9:$AB$27,0,$A19+1),0)),"-")</f>
        <v>Obsidian Sheep</v>
      </c>
      <c r="P19" s="18">
        <f>IF(ISNUMBER(N19),_xlfn.MAXIFS(INDEX('Rebirth Odds'!$C$9:$AB$27,0,$A19+1),INDEX('Rebirth Odds'!$C$9:$AB$27,0,$A19+1),"&lt;="&amp;N19),"-")</f>
        <v>171.97000046286612</v>
      </c>
    </row>
    <row r="20" spans="1:16" x14ac:dyDescent="0.25">
      <c r="A20" s="7">
        <v>14</v>
      </c>
      <c r="B20" s="14">
        <f>IF(A20&gt;=Settings!$B$15,"max",FLOOR(Settings!$B$16*Settings!$B$17^A20,1))</f>
        <v>7174453500</v>
      </c>
      <c r="C20" s="35">
        <f>Settings!$B$18^A20</f>
        <v>291.92926025390625</v>
      </c>
      <c r="D20" s="14">
        <f>IF(A20=0,0,FLOOR(Settings!$B$19*Settings!$B$20^(A20-1)*IF(MOD(A20,Settings!$B$21)=0,Settings!$B$22,1),1))</f>
        <v>6262</v>
      </c>
      <c r="E20" s="14">
        <f>SUM($D$6:D20)</f>
        <v>21701</v>
      </c>
      <c r="F20" s="20">
        <f>1+Settings!$B$14*LOG10(1+E20)</f>
        <v>3.1682498795726315</v>
      </c>
      <c r="G20" s="18">
        <f>IFERROR(1/SUMPRODUCT((Sheep!$C$5:$C$23="Common")/INDEX('Rebirth Odds'!$C$9:$AB$27,0,$A20+1)),"-")</f>
        <v>4.0589981977635015</v>
      </c>
      <c r="H20" s="18">
        <f>IFERROR(1/SUMPRODUCT((Sheep!$C$5:$C$23="Uncommon")/INDEX('Rebirth Odds'!$C$9:$AB$27,0,$A20+1)),"-")</f>
        <v>4.5755299253179755</v>
      </c>
      <c r="I20" s="18">
        <f>IFERROR(1/SUMPRODUCT((Sheep!$C$5:$C$23="Rare")/INDEX('Rebirth Odds'!$C$9:$AB$27,0,$A20+1)),"-")</f>
        <v>4.2121979398010501</v>
      </c>
      <c r="J20" s="18">
        <f>IFERROR(1/SUMPRODUCT((Sheep!$C$5:$C$23="Epic")/INDEX('Rebirth Odds'!$C$9:$AB$27,0,$A20+1)),"-")</f>
        <v>4.4214420786712507</v>
      </c>
      <c r="K20" s="18">
        <f>IFERROR(1/SUMPRODUCT((Sheep!$C$5:$C$23="Legendary")/INDEX('Rebirth Odds'!$C$9:$AB$27,0,$A20+1)),"-")</f>
        <v>21.581139800425287</v>
      </c>
      <c r="L20" s="18">
        <f>IFERROR(1/SUMPRODUCT((Sheep!$C$5:$C$23="Mythic")/INDEX('Rebirth Odds'!$C$9:$AB$27,0,$A20+1)),"-")</f>
        <v>39.734865289769679</v>
      </c>
      <c r="M20" s="15">
        <f>C20*Settings!$B$24*SUMPRODUCT(Sheep!$F$5:$F$23/INDEX('Rebirth Odds'!$C$9:$AB$27,0,$A20+1))</f>
        <v>10726.676054930227</v>
      </c>
      <c r="N20" s="14">
        <f t="shared" si="0"/>
        <v>668842.18962708919</v>
      </c>
      <c r="O20" s="7" t="str">
        <f>IF(ISNUMBER(N20),INDEX(Sheep!$A$5:$A$23,MATCH(P20,INDEX('Rebirth Odds'!$C$9:$AB$27,0,$A20+1),0)),"-")</f>
        <v>Obsidian Sheep</v>
      </c>
      <c r="P20" s="18">
        <f>IF(ISNUMBER(N20),_xlfn.MAXIFS(INDEX('Rebirth Odds'!$C$9:$AB$27,0,$A20+1),INDEX('Rebirth Odds'!$C$9:$AB$27,0,$A20+1),"&lt;="&amp;N20),"-")</f>
        <v>158.93946115907872</v>
      </c>
    </row>
    <row r="21" spans="1:16" x14ac:dyDescent="0.25">
      <c r="A21" s="7">
        <v>15</v>
      </c>
      <c r="B21" s="14">
        <f>IF(A21&gt;=Settings!$B$15,"max",FLOOR(Settings!$B$16*Settings!$B$17^A21,1))</f>
        <v>21523360500</v>
      </c>
      <c r="C21" s="35">
        <f>Settings!$B$18^A21</f>
        <v>437.89389038085938</v>
      </c>
      <c r="D21" s="14">
        <f>IF(A21=0,0,FLOOR(Settings!$B$19*Settings!$B$20^(A21-1)*IF(MOD(A21,Settings!$B$21)=0,Settings!$B$22,1),1))</f>
        <v>18161</v>
      </c>
      <c r="E21" s="14">
        <f>SUM($D$6:D21)</f>
        <v>39862</v>
      </c>
      <c r="F21" s="20">
        <f>1+Settings!$B$14*LOG10(1+E21)</f>
        <v>3.3002849898116677</v>
      </c>
      <c r="G21" s="18">
        <f>IFERROR(1/SUMPRODUCT((Sheep!$C$5:$C$23="Common")/INDEX('Rebirth Odds'!$C$9:$AB$27,0,$A21+1)),"-")</f>
        <v>4.3540863082962762</v>
      </c>
      <c r="H21" s="18">
        <f>IFERROR(1/SUMPRODUCT((Sheep!$C$5:$C$23="Uncommon")/INDEX('Rebirth Odds'!$C$9:$AB$27,0,$A21+1)),"-")</f>
        <v>4.7118077050681189</v>
      </c>
      <c r="I21" s="18">
        <f>IFERROR(1/SUMPRODUCT((Sheep!$C$5:$C$23="Rare")/INDEX('Rebirth Odds'!$C$9:$AB$27,0,$A21+1)),"-")</f>
        <v>4.1641168915838334</v>
      </c>
      <c r="J21" s="18">
        <f>IFERROR(1/SUMPRODUCT((Sheep!$C$5:$C$23="Epic")/INDEX('Rebirth Odds'!$C$9:$AB$27,0,$A21+1)),"-")</f>
        <v>4.1961022621543602</v>
      </c>
      <c r="K21" s="18">
        <f>IFERROR(1/SUMPRODUCT((Sheep!$C$5:$C$23="Legendary")/INDEX('Rebirth Odds'!$C$9:$AB$27,0,$A21+1)),"-")</f>
        <v>19.661854800005798</v>
      </c>
      <c r="L21" s="18">
        <f>IFERROR(1/SUMPRODUCT((Sheep!$C$5:$C$23="Mythic")/INDEX('Rebirth Odds'!$C$9:$AB$27,0,$A21+1)),"-")</f>
        <v>34.752802668286812</v>
      </c>
      <c r="M21" s="15">
        <f>C21*Settings!$B$24*SUMPRODUCT(Sheep!$F$5:$F$23/INDEX('Rebirth Odds'!$C$9:$AB$27,0,$A21+1))</f>
        <v>16570.708285988156</v>
      </c>
      <c r="N21" s="14">
        <f t="shared" si="0"/>
        <v>1298879.9349150152</v>
      </c>
      <c r="O21" s="7" t="str">
        <f>IF(ISNUMBER(N21),INDEX(Sheep!$A$5:$A$23,MATCH(P21,INDEX('Rebirth Odds'!$C$9:$AB$27,0,$A21+1),0)),"-")</f>
        <v>Obsidian Sheep</v>
      </c>
      <c r="P21" s="18">
        <f>IF(ISNUMBER(N21),_xlfn.MAXIFS(INDEX('Rebirth Odds'!$C$9:$AB$27,0,$A21+1),INDEX('Rebirth Odds'!$C$9:$AB$27,0,$A21+1),"&lt;="&amp;N21),"-")</f>
        <v>139.01121067314725</v>
      </c>
    </row>
    <row r="22" spans="1:16" x14ac:dyDescent="0.25">
      <c r="A22" s="7">
        <v>16</v>
      </c>
      <c r="B22" s="14">
        <f>IF(A22&gt;=Settings!$B$15,"max",FLOOR(Settings!$B$16*Settings!$B$17^A22,1))</f>
        <v>64570081500</v>
      </c>
      <c r="C22" s="35">
        <f>Settings!$B$18^A22</f>
        <v>656.84083557128906</v>
      </c>
      <c r="D22" s="14">
        <f>IF(A22=0,0,FLOOR(Settings!$B$19*Settings!$B$20^(A22-1)*IF(MOD(A22,Settings!$B$21)=0,Settings!$B$22,1),1))</f>
        <v>13167</v>
      </c>
      <c r="E22" s="14">
        <f>SUM($D$6:D22)</f>
        <v>53029</v>
      </c>
      <c r="F22" s="20">
        <f>1+Settings!$B$14*LOG10(1+E22)</f>
        <v>3.3622608135592813</v>
      </c>
      <c r="G22" s="18">
        <f>IFERROR(1/SUMPRODUCT((Sheep!$C$5:$C$23="Common")/INDEX('Rebirth Odds'!$C$9:$AB$27,0,$A22+1)),"-")</f>
        <v>4.4999648015557296</v>
      </c>
      <c r="H22" s="18">
        <f>IFERROR(1/SUMPRODUCT((Sheep!$C$5:$C$23="Uncommon")/INDEX('Rebirth Odds'!$C$9:$AB$27,0,$A22+1)),"-")</f>
        <v>4.7799096363633939</v>
      </c>
      <c r="I22" s="18">
        <f>IFERROR(1/SUMPRODUCT((Sheep!$C$5:$C$23="Rare")/INDEX('Rebirth Odds'!$C$9:$AB$27,0,$A22+1)),"-")</f>
        <v>4.1464371383199037</v>
      </c>
      <c r="J22" s="18">
        <f>IFERROR(1/SUMPRODUCT((Sheep!$C$5:$C$23="Epic")/INDEX('Rebirth Odds'!$C$9:$AB$27,0,$A22+1)),"-")</f>
        <v>4.1012692554394583</v>
      </c>
      <c r="K22" s="18">
        <f>IFERROR(1/SUMPRODUCT((Sheep!$C$5:$C$23="Legendary")/INDEX('Rebirth Odds'!$C$9:$AB$27,0,$A22+1)),"-")</f>
        <v>18.863259893925946</v>
      </c>
      <c r="L22" s="18">
        <f>IFERROR(1/SUMPRODUCT((Sheep!$C$5:$C$23="Mythic")/INDEX('Rebirth Odds'!$C$9:$AB$27,0,$A22+1)),"-")</f>
        <v>32.726694571348411</v>
      </c>
      <c r="M22" s="15">
        <f>C22*Settings!$B$24*SUMPRODUCT(Sheep!$F$5:$F$23/INDEX('Rebirth Odds'!$C$9:$AB$27,0,$A22+1))</f>
        <v>25191.679906139158</v>
      </c>
      <c r="N22" s="14">
        <f t="shared" si="0"/>
        <v>2563151.0776803899</v>
      </c>
      <c r="O22" s="7" t="str">
        <f>IF(ISNUMBER(N22),INDEX(Sheep!$A$5:$A$23,MATCH(P22,INDEX('Rebirth Odds'!$C$9:$AB$27,0,$A22+1),0)),"-")</f>
        <v>Vampire Sheep</v>
      </c>
      <c r="P22" s="18">
        <f>IF(ISNUMBER(N22),_xlfn.MAXIFS(INDEX('Rebirth Odds'!$C$9:$AB$27,0,$A22+1),INDEX('Rebirth Odds'!$C$9:$AB$27,0,$A22+1),"&lt;="&amp;N22),"-")</f>
        <v>132.04281925748163</v>
      </c>
    </row>
    <row r="23" spans="1:16" x14ac:dyDescent="0.25">
      <c r="A23" s="7">
        <v>17</v>
      </c>
      <c r="B23" s="14">
        <f>IF(A23&gt;=Settings!$B$15,"max",FLOOR(Settings!$B$16*Settings!$B$17^A23,1))</f>
        <v>193710244500</v>
      </c>
      <c r="C23" s="35">
        <f>Settings!$B$18^A23</f>
        <v>985.26125335693359</v>
      </c>
      <c r="D23" s="14">
        <f>IF(A23=0,0,FLOOR(Settings!$B$19*Settings!$B$20^(A23-1)*IF(MOD(A23,Settings!$B$21)=0,Settings!$B$22,1),1))</f>
        <v>19092</v>
      </c>
      <c r="E23" s="14">
        <f>SUM($D$6:D23)</f>
        <v>72121</v>
      </c>
      <c r="F23" s="20">
        <f>1+Settings!$B$14*LOG10(1+E23)</f>
        <v>3.4290338807731047</v>
      </c>
      <c r="G23" s="18">
        <f>IFERROR(1/SUMPRODUCT((Sheep!$C$5:$C$23="Common")/INDEX('Rebirth Odds'!$C$9:$AB$27,0,$A23+1)),"-")</f>
        <v>4.6626016572330737</v>
      </c>
      <c r="H23" s="18">
        <f>IFERROR(1/SUMPRODUCT((Sheep!$C$5:$C$23="Uncommon")/INDEX('Rebirth Odds'!$C$9:$AB$27,0,$A23+1)),"-")</f>
        <v>4.8562217099114928</v>
      </c>
      <c r="I23" s="18">
        <f>IFERROR(1/SUMPRODUCT((Sheep!$C$5:$C$23="Rare")/INDEX('Rebirth Odds'!$C$9:$AB$27,0,$A23+1)),"-")</f>
        <v>4.1306036859712991</v>
      </c>
      <c r="J23" s="18">
        <f>IFERROR(1/SUMPRODUCT((Sheep!$C$5:$C$23="Epic")/INDEX('Rebirth Odds'!$C$9:$AB$27,0,$A23+1)),"-")</f>
        <v>4.0060498368058068</v>
      </c>
      <c r="K23" s="18">
        <f>IFERROR(1/SUMPRODUCT((Sheep!$C$5:$C$23="Legendary")/INDEX('Rebirth Odds'!$C$9:$AB$27,0,$A23+1)),"-")</f>
        <v>18.066517105414356</v>
      </c>
      <c r="L23" s="18">
        <f>IFERROR(1/SUMPRODUCT((Sheep!$C$5:$C$23="Mythic")/INDEX('Rebirth Odds'!$C$9:$AB$27,0,$A23+1)),"-")</f>
        <v>30.734026000492534</v>
      </c>
      <c r="M23" s="15">
        <f>C23*Settings!$B$24*SUMPRODUCT(Sheep!$F$5:$F$23/INDEX('Rebirth Odds'!$C$9:$AB$27,0,$A23+1))</f>
        <v>38326.641512525304</v>
      </c>
      <c r="N23" s="14">
        <f t="shared" si="0"/>
        <v>5054193.0327157602</v>
      </c>
      <c r="O23" s="7" t="str">
        <f>IF(ISNUMBER(N23),INDEX(Sheep!$A$5:$A$23,MATCH(P23,INDEX('Rebirth Odds'!$C$9:$AB$27,0,$A23+1),0)),"-")</f>
        <v>Vampire Sheep</v>
      </c>
      <c r="P23" s="18">
        <f>IF(ISNUMBER(N23),_xlfn.MAXIFS(INDEX('Rebirth Odds'!$C$9:$AB$27,0,$A23+1),INDEX('Rebirth Odds'!$C$9:$AB$27,0,$A23+1),"&lt;="&amp;N23),"-")</f>
        <v>126.4656197379005</v>
      </c>
    </row>
    <row r="24" spans="1:16" x14ac:dyDescent="0.25">
      <c r="A24" s="7">
        <v>18</v>
      </c>
      <c r="B24" s="14">
        <f>IF(A24&gt;=Settings!$B$15,"max",FLOOR(Settings!$B$16*Settings!$B$17^A24,1))</f>
        <v>581130733500</v>
      </c>
      <c r="C24" s="35">
        <f>Settings!$B$18^A24</f>
        <v>1477.8918800354004</v>
      </c>
      <c r="D24" s="14">
        <f>IF(A24=0,0,FLOOR(Settings!$B$19*Settings!$B$20^(A24-1)*IF(MOD(A24,Settings!$B$21)=0,Settings!$B$22,1),1))</f>
        <v>27683</v>
      </c>
      <c r="E24" s="14">
        <f>SUM($D$6:D24)</f>
        <v>99804</v>
      </c>
      <c r="F24" s="20">
        <f>1+Settings!$B$14*LOG10(1+E24)</f>
        <v>3.4995761494914599</v>
      </c>
      <c r="G24" s="18">
        <f>IFERROR(1/SUMPRODUCT((Sheep!$C$5:$C$23="Common")/INDEX('Rebirth Odds'!$C$9:$AB$27,0,$A24+1)),"-")</f>
        <v>4.84075451830725</v>
      </c>
      <c r="H24" s="18">
        <f>IFERROR(1/SUMPRODUCT((Sheep!$C$5:$C$23="Uncommon")/INDEX('Rebirth Odds'!$C$9:$AB$27,0,$A24+1)),"-")</f>
        <v>4.9401436789614444</v>
      </c>
      <c r="I24" s="18">
        <f>IFERROR(1/SUMPRODUCT((Sheep!$C$5:$C$23="Rare")/INDEX('Rebirth Odds'!$C$9:$AB$27,0,$A24+1)),"-")</f>
        <v>4.1172850029466233</v>
      </c>
      <c r="J24" s="18">
        <f>IFERROR(1/SUMPRODUCT((Sheep!$C$5:$C$23="Epic")/INDEX('Rebirth Odds'!$C$9:$AB$27,0,$A24+1)),"-")</f>
        <v>3.9126416896679008</v>
      </c>
      <c r="K24" s="18">
        <f>IFERROR(1/SUMPRODUCT((Sheep!$C$5:$C$23="Legendary")/INDEX('Rebirth Odds'!$C$9:$AB$27,0,$A24+1)),"-")</f>
        <v>17.289582052798732</v>
      </c>
      <c r="L24" s="18">
        <f>IFERROR(1/SUMPRODUCT((Sheep!$C$5:$C$23="Mythic")/INDEX('Rebirth Odds'!$C$9:$AB$27,0,$A24+1)),"-")</f>
        <v>28.819460128806874</v>
      </c>
      <c r="M24" s="15">
        <f>C24*Settings!$B$24*SUMPRODUCT(Sheep!$F$5:$F$23/INDEX('Rebirth Odds'!$C$9:$AB$27,0,$A24+1))</f>
        <v>58338.495239914737</v>
      </c>
      <c r="N24" s="14">
        <f t="shared" si="0"/>
        <v>9961359.6667195987</v>
      </c>
      <c r="O24" s="7" t="str">
        <f>IF(ISNUMBER(N24),INDEX(Sheep!$A$5:$A$23,MATCH(P24,INDEX('Rebirth Odds'!$C$9:$AB$27,0,$A24+1),0)),"-")</f>
        <v>Vampire Sheep</v>
      </c>
      <c r="P24" s="18">
        <f>IF(ISNUMBER(N24),_xlfn.MAXIFS(INDEX('Rebirth Odds'!$C$9:$AB$27,0,$A24+1),INDEX('Rebirth Odds'!$C$9:$AB$27,0,$A24+1),"&lt;="&amp;N24),"-")</f>
        <v>121.02707436959113</v>
      </c>
    </row>
    <row r="25" spans="1:16" x14ac:dyDescent="0.25">
      <c r="A25" s="7">
        <v>19</v>
      </c>
      <c r="B25" s="14">
        <f>IF(A25&gt;=Settings!$B$15,"max",FLOOR(Settings!$B$16*Settings!$B$17^A25,1))</f>
        <v>1743392200500</v>
      </c>
      <c r="C25" s="35">
        <f>Settings!$B$18^A25</f>
        <v>2216.8378200531006</v>
      </c>
      <c r="D25" s="14">
        <f>IF(A25=0,0,FLOOR(Settings!$B$19*Settings!$B$20^(A25-1)*IF(MOD(A25,Settings!$B$21)=0,Settings!$B$22,1),1))</f>
        <v>40141</v>
      </c>
      <c r="E25" s="14">
        <f>SUM($D$6:D25)</f>
        <v>139945</v>
      </c>
      <c r="F25" s="20">
        <f>1+Settings!$B$14*LOG10(1+E25)</f>
        <v>3.5729802448889298</v>
      </c>
      <c r="G25" s="18">
        <f>IFERROR(1/SUMPRODUCT((Sheep!$C$5:$C$23="Common")/INDEX('Rebirth Odds'!$C$9:$AB$27,0,$A25+1)),"-")</f>
        <v>5.0332532191412982</v>
      </c>
      <c r="H25" s="18">
        <f>IFERROR(1/SUMPRODUCT((Sheep!$C$5:$C$23="Uncommon")/INDEX('Rebirth Odds'!$C$9:$AB$27,0,$A25+1)),"-")</f>
        <v>5.0310673784973208</v>
      </c>
      <c r="I25" s="18">
        <f>IFERROR(1/SUMPRODUCT((Sheep!$C$5:$C$23="Rare")/INDEX('Rebirth Odds'!$C$9:$AB$27,0,$A25+1)),"-")</f>
        <v>4.1069206978146449</v>
      </c>
      <c r="J25" s="18">
        <f>IFERROR(1/SUMPRODUCT((Sheep!$C$5:$C$23="Epic")/INDEX('Rebirth Odds'!$C$9:$AB$27,0,$A25+1)),"-")</f>
        <v>3.8226126946071668</v>
      </c>
      <c r="K25" s="18">
        <f>IFERROR(1/SUMPRODUCT((Sheep!$C$5:$C$23="Legendary")/INDEX('Rebirth Odds'!$C$9:$AB$27,0,$A25+1)),"-")</f>
        <v>16.54472480474027</v>
      </c>
      <c r="L25" s="18">
        <f>IFERROR(1/SUMPRODUCT((Sheep!$C$5:$C$23="Mythic")/INDEX('Rebirth Odds'!$C$9:$AB$27,0,$A25+1)),"-")</f>
        <v>27.011314947059933</v>
      </c>
      <c r="M25" s="15">
        <f>C25*Settings!$B$24*SUMPRODUCT(Sheep!$F$5:$F$23/INDEX('Rebirth Odds'!$C$9:$AB$27,0,$A25+1))</f>
        <v>88822.277987794281</v>
      </c>
      <c r="N25" s="14">
        <f t="shared" si="0"/>
        <v>19627870.844964955</v>
      </c>
      <c r="O25" s="7" t="str">
        <f>IF(ISNUMBER(N25),INDEX(Sheep!$A$5:$A$23,MATCH(P25,INDEX('Rebirth Odds'!$C$9:$AB$27,0,$A25+1),0)),"-")</f>
        <v>Vampire Sheep</v>
      </c>
      <c r="P25" s="18">
        <f>IF(ISNUMBER(N25),_xlfn.MAXIFS(INDEX('Rebirth Odds'!$C$9:$AB$27,0,$A25+1),INDEX('Rebirth Odds'!$C$9:$AB$27,0,$A25+1),"&lt;="&amp;N25),"-")</f>
        <v>115.81307363318189</v>
      </c>
    </row>
    <row r="26" spans="1:16" x14ac:dyDescent="0.25">
      <c r="A26" s="7">
        <v>20</v>
      </c>
      <c r="B26" s="14">
        <f>IF(A26&gt;=Settings!$B$15,"max",FLOOR(Settings!$B$16*Settings!$B$17^A26,1))</f>
        <v>5230176601500</v>
      </c>
      <c r="C26" s="35">
        <f>Settings!$B$18^A26</f>
        <v>3325.2567300796509</v>
      </c>
      <c r="D26" s="14">
        <f>IF(A26=0,0,FLOOR(Settings!$B$19*Settings!$B$20^(A26-1)*IF(MOD(A26,Settings!$B$21)=0,Settings!$B$22,1),1))</f>
        <v>116410</v>
      </c>
      <c r="E26" s="14">
        <f>SUM($D$6:D26)</f>
        <v>256355</v>
      </c>
      <c r="F26" s="20">
        <f>1+Settings!$B$14*LOG10(1+E26)</f>
        <v>3.7044217432685431</v>
      </c>
      <c r="G26" s="18">
        <f>IFERROR(1/SUMPRODUCT((Sheep!$C$5:$C$23="Common")/INDEX('Rebirth Odds'!$C$9:$AB$27,0,$A26+1)),"-")</f>
        <v>5.3968014159125053</v>
      </c>
      <c r="H26" s="18">
        <f>IFERROR(1/SUMPRODUCT((Sheep!$C$5:$C$23="Uncommon")/INDEX('Rebirth Odds'!$C$9:$AB$27,0,$A26+1)),"-")</f>
        <v>5.2030497893875607</v>
      </c>
      <c r="I26" s="18">
        <f>IFERROR(1/SUMPRODUCT((Sheep!$C$5:$C$23="Rare")/INDEX('Rebirth Odds'!$C$9:$AB$27,0,$A26+1)),"-")</f>
        <v>4.0966074970512878</v>
      </c>
      <c r="J26" s="18">
        <f>IFERROR(1/SUMPRODUCT((Sheep!$C$5:$C$23="Epic")/INDEX('Rebirth Odds'!$C$9:$AB$27,0,$A26+1)),"-")</f>
        <v>3.6777188569193004</v>
      </c>
      <c r="K26" s="18">
        <f>IFERROR(1/SUMPRODUCT((Sheep!$C$5:$C$23="Legendary")/INDEX('Rebirth Odds'!$C$9:$AB$27,0,$A26+1)),"-")</f>
        <v>15.352813238277504</v>
      </c>
      <c r="L26" s="18">
        <f>IFERROR(1/SUMPRODUCT((Sheep!$C$5:$C$23="Mythic")/INDEX('Rebirth Odds'!$C$9:$AB$27,0,$A26+1)),"-")</f>
        <v>24.175993833862226</v>
      </c>
      <c r="M26" s="15">
        <f>C26*Settings!$B$24*SUMPRODUCT(Sheep!$F$5:$F$23/INDEX('Rebirth Odds'!$C$9:$AB$27,0,$A26+1))</f>
        <v>136724.61131603879</v>
      </c>
      <c r="N26" s="14">
        <f t="shared" si="0"/>
        <v>38253366.02647531</v>
      </c>
      <c r="O26" s="7" t="str">
        <f>IF(ISNUMBER(N26),INDEX(Sheep!$A$5:$A$23,MATCH(P26,INDEX('Rebirth Odds'!$C$9:$AB$27,0,$A26+1),0)),"-")</f>
        <v>Vampire Sheep</v>
      </c>
      <c r="P26" s="18">
        <f>IF(ISNUMBER(N26),_xlfn.MAXIFS(INDEX('Rebirth Odds'!$C$9:$AB$27,0,$A26+1),INDEX('Rebirth Odds'!$C$9:$AB$27,0,$A26+1),"&lt;="&amp;N26),"-")</f>
        <v>107.46969266794254</v>
      </c>
    </row>
    <row r="27" spans="1:16" x14ac:dyDescent="0.25">
      <c r="A27" s="7">
        <v>21</v>
      </c>
      <c r="B27" s="14">
        <f>IF(A27&gt;=Settings!$B$15,"max",FLOOR(Settings!$B$16*Settings!$B$17^A27,1))</f>
        <v>15690529804500</v>
      </c>
      <c r="C27" s="35">
        <f>Settings!$B$18^A27</f>
        <v>4987.8850951194763</v>
      </c>
      <c r="D27" s="14">
        <f>IF(A27=0,0,FLOOR(Settings!$B$19*Settings!$B$20^(A27-1)*IF(MOD(A27,Settings!$B$21)=0,Settings!$B$22,1),1))</f>
        <v>84397</v>
      </c>
      <c r="E27" s="14">
        <f>SUM($D$6:D27)</f>
        <v>340752</v>
      </c>
      <c r="F27" s="20">
        <f>1+Settings!$B$14*LOG10(1+E27)</f>
        <v>3.7662198440328281</v>
      </c>
      <c r="G27" s="18">
        <f>IFERROR(1/SUMPRODUCT((Sheep!$C$5:$C$23="Common")/INDEX('Rebirth Odds'!$C$9:$AB$27,0,$A27+1)),"-")</f>
        <v>5.5763990924406022</v>
      </c>
      <c r="H27" s="18">
        <f>IFERROR(1/SUMPRODUCT((Sheep!$C$5:$C$23="Uncommon")/INDEX('Rebirth Odds'!$C$9:$AB$27,0,$A27+1)),"-")</f>
        <v>5.2879842041045579</v>
      </c>
      <c r="I27" s="18">
        <f>IFERROR(1/SUMPRODUCT((Sheep!$C$5:$C$23="Rare")/INDEX('Rebirth Odds'!$C$9:$AB$27,0,$A27+1)),"-")</f>
        <v>4.0951638249180204</v>
      </c>
      <c r="J27" s="18">
        <f>IFERROR(1/SUMPRODUCT((Sheep!$C$5:$C$23="Epic")/INDEX('Rebirth Odds'!$C$9:$AB$27,0,$A27+1)),"-")</f>
        <v>3.6160981399037326</v>
      </c>
      <c r="K27" s="18">
        <f>IFERROR(1/SUMPRODUCT((Sheep!$C$5:$C$23="Legendary")/INDEX('Rebirth Odds'!$C$9:$AB$27,0,$A27+1)),"-")</f>
        <v>14.84787854192003</v>
      </c>
      <c r="L27" s="18">
        <f>IFERROR(1/SUMPRODUCT((Sheep!$C$5:$C$23="Mythic")/INDEX('Rebirth Odds'!$C$9:$AB$27,0,$A27+1)),"-")</f>
        <v>22.997230224118557</v>
      </c>
      <c r="M27" s="15">
        <f>C27*Settings!$B$24*SUMPRODUCT(Sheep!$F$5:$F$23/INDEX('Rebirth Odds'!$C$9:$AB$27,0,$A27+1))</f>
        <v>207521.68370778568</v>
      </c>
      <c r="N27" s="14">
        <f t="shared" si="0"/>
        <v>75609109.969414398</v>
      </c>
      <c r="O27" s="7" t="str">
        <f>IF(ISNUMBER(N27),INDEX(Sheep!$A$5:$A$23,MATCH(P27,INDEX('Rebirth Odds'!$C$9:$AB$27,0,$A27+1),0)),"-")</f>
        <v>Vampire Sheep</v>
      </c>
      <c r="P27" s="18">
        <f>IF(ISNUMBER(N27),_xlfn.MAXIFS(INDEX('Rebirth Odds'!$C$9:$AB$27,0,$A27+1),INDEX('Rebirth Odds'!$C$9:$AB$27,0,$A27+1),"&lt;="&amp;N27),"-")</f>
        <v>103.93514979344022</v>
      </c>
    </row>
    <row r="28" spans="1:16" x14ac:dyDescent="0.25">
      <c r="A28" s="7">
        <v>22</v>
      </c>
      <c r="B28" s="14">
        <f>IF(A28&gt;=Settings!$B$15,"max",FLOOR(Settings!$B$16*Settings!$B$17^A28,1))</f>
        <v>47071589413500</v>
      </c>
      <c r="C28" s="35">
        <f>Settings!$B$18^A28</f>
        <v>7481.8276426792145</v>
      </c>
      <c r="D28" s="14">
        <f>IF(A28=0,0,FLOOR(Settings!$B$19*Settings!$B$20^(A28-1)*IF(MOD(A28,Settings!$B$21)=0,Settings!$B$22,1),1))</f>
        <v>122376</v>
      </c>
      <c r="E28" s="14">
        <f>SUM($D$6:D28)</f>
        <v>463128</v>
      </c>
      <c r="F28" s="20">
        <f>1+Settings!$B$14*LOG10(1+E28)</f>
        <v>3.8328509881493407</v>
      </c>
      <c r="G28" s="18">
        <f>IFERROR(1/SUMPRODUCT((Sheep!$C$5:$C$23="Common")/INDEX('Rebirth Odds'!$C$9:$AB$27,0,$A28+1)),"-")</f>
        <v>5.7764819683285165</v>
      </c>
      <c r="H28" s="18">
        <f>IFERROR(1/SUMPRODUCT((Sheep!$C$5:$C$23="Uncommon")/INDEX('Rebirth Odds'!$C$9:$AB$27,0,$A28+1)),"-")</f>
        <v>5.3824927730862742</v>
      </c>
      <c r="I28" s="18">
        <f>IFERROR(1/SUMPRODUCT((Sheep!$C$5:$C$23="Rare")/INDEX('Rebirth Odds'!$C$9:$AB$27,0,$A28+1)),"-")</f>
        <v>4.0958903185576396</v>
      </c>
      <c r="J28" s="18">
        <f>IFERROR(1/SUMPRODUCT((Sheep!$C$5:$C$23="Epic")/INDEX('Rebirth Odds'!$C$9:$AB$27,0,$A28+1)),"-")</f>
        <v>3.5538654300263639</v>
      </c>
      <c r="K28" s="18">
        <f>IFERROR(1/SUMPRODUCT((Sheep!$C$5:$C$23="Legendary")/INDEX('Rebirth Odds'!$C$9:$AB$27,0,$A28+1)),"-")</f>
        <v>14.338671284110253</v>
      </c>
      <c r="L28" s="18">
        <f>IFERROR(1/SUMPRODUCT((Sheep!$C$5:$C$23="Mythic")/INDEX('Rebirth Odds'!$C$9:$AB$27,0,$A28+1)),"-")</f>
        <v>21.822463074072115</v>
      </c>
      <c r="M28" s="15">
        <f>C28*Settings!$B$24*SUMPRODUCT(Sheep!$F$5:$F$23/INDEX('Rebirth Odds'!$C$9:$AB$27,0,$A28+1))</f>
        <v>315190.0328058509</v>
      </c>
      <c r="N28" s="14">
        <f t="shared" si="0"/>
        <v>149343521.41298488</v>
      </c>
      <c r="O28" s="7" t="str">
        <f>IF(ISNUMBER(N28),INDEX(Sheep!$A$5:$A$23,MATCH(P28,INDEX('Rebirth Odds'!$C$9:$AB$27,0,$A28+1),0)),"-")</f>
        <v>Vampire Sheep</v>
      </c>
      <c r="P28" s="18">
        <f>IF(ISNUMBER(N28),_xlfn.MAXIFS(INDEX('Rebirth Odds'!$C$9:$AB$27,0,$A28+1),INDEX('Rebirth Odds'!$C$9:$AB$27,0,$A28+1),"&lt;="&amp;N28),"-")</f>
        <v>100.37069898877176</v>
      </c>
    </row>
    <row r="29" spans="1:16" x14ac:dyDescent="0.25">
      <c r="A29" s="7">
        <v>23</v>
      </c>
      <c r="B29" s="14">
        <f>IF(A29&gt;=Settings!$B$15,"max",FLOOR(Settings!$B$16*Settings!$B$17^A29,1))</f>
        <v>141214768240500</v>
      </c>
      <c r="C29" s="35">
        <f>Settings!$B$18^A29</f>
        <v>11222.741464018822</v>
      </c>
      <c r="D29" s="14">
        <f>IF(A29=0,0,FLOOR(Settings!$B$19*Settings!$B$20^(A29-1)*IF(MOD(A29,Settings!$B$21)=0,Settings!$B$22,1),1))</f>
        <v>177445</v>
      </c>
      <c r="E29" s="14">
        <f>SUM($D$6:D29)</f>
        <v>640573</v>
      </c>
      <c r="F29" s="20">
        <f>1+Settings!$B$14*LOG10(1+E29)</f>
        <v>3.9032846536408896</v>
      </c>
      <c r="G29" s="18">
        <f>IFERROR(1/SUMPRODUCT((Sheep!$C$5:$C$23="Common")/INDEX('Rebirth Odds'!$C$9:$AB$27,0,$A29+1)),"-")</f>
        <v>5.9954465169310893</v>
      </c>
      <c r="H29" s="18">
        <f>IFERROR(1/SUMPRODUCT((Sheep!$C$5:$C$23="Uncommon")/INDEX('Rebirth Odds'!$C$9:$AB$27,0,$A29+1)),"-")</f>
        <v>5.4857154650677913</v>
      </c>
      <c r="I29" s="18">
        <f>IFERROR(1/SUMPRODUCT((Sheep!$C$5:$C$23="Rare")/INDEX('Rebirth Odds'!$C$9:$AB$27,0,$A29+1)),"-")</f>
        <v>4.0991126344978817</v>
      </c>
      <c r="J29" s="18">
        <f>IFERROR(1/SUMPRODUCT((Sheep!$C$5:$C$23="Epic")/INDEX('Rebirth Odds'!$C$9:$AB$27,0,$A29+1)),"-")</f>
        <v>3.4924823787876691</v>
      </c>
      <c r="K29" s="18">
        <f>IFERROR(1/SUMPRODUCT((Sheep!$C$5:$C$23="Legendary")/INDEX('Rebirth Odds'!$C$9:$AB$27,0,$A29+1)),"-")</f>
        <v>13.836742679605162</v>
      </c>
      <c r="L29" s="18">
        <f>IFERROR(1/SUMPRODUCT((Sheep!$C$5:$C$23="Mythic")/INDEX('Rebirth Odds'!$C$9:$AB$27,0,$A29+1)),"-")</f>
        <v>20.678566761050437</v>
      </c>
      <c r="M29" s="15">
        <f>C29*Settings!$B$24*SUMPRODUCT(Sheep!$F$5:$F$23/INDEX('Rebirth Odds'!$C$9:$AB$27,0,$A29+1))</f>
        <v>478928.63836616976</v>
      </c>
      <c r="N29" s="14">
        <f t="shared" si="0"/>
        <v>294855552.43103421</v>
      </c>
      <c r="O29" s="7" t="str">
        <f>IF(ISNUMBER(N29),INDEX(Sheep!$A$5:$A$23,MATCH(P29,INDEX('Rebirth Odds'!$C$9:$AB$27,0,$A29+1),0)),"-")</f>
        <v>Vampire Sheep</v>
      </c>
      <c r="P29" s="18">
        <f>IF(ISNUMBER(N29),_xlfn.MAXIFS(INDEX('Rebirth Odds'!$C$9:$AB$27,0,$A29+1),INDEX('Rebirth Odds'!$C$9:$AB$27,0,$A29+1),"&lt;="&amp;N29),"-")</f>
        <v>96.857198757236119</v>
      </c>
    </row>
    <row r="30" spans="1:16" x14ac:dyDescent="0.25">
      <c r="A30" s="7">
        <v>24</v>
      </c>
      <c r="B30" s="14">
        <f>IF(A30&gt;=Settings!$B$15,"max",FLOOR(Settings!$B$16*Settings!$B$17^A30,1))</f>
        <v>423644304721500</v>
      </c>
      <c r="C30" s="35">
        <f>Settings!$B$18^A30</f>
        <v>16834.112196028233</v>
      </c>
      <c r="D30" s="14">
        <f>IF(A30=0,0,FLOOR(Settings!$B$19*Settings!$B$20^(A30-1)*IF(MOD(A30,Settings!$B$21)=0,Settings!$B$22,1),1))</f>
        <v>257296</v>
      </c>
      <c r="E30" s="14">
        <f>SUM($D$6:D30)</f>
        <v>897869</v>
      </c>
      <c r="F30" s="20">
        <f>1+Settings!$B$14*LOG10(1+E30)</f>
        <v>3.9766067304886268</v>
      </c>
      <c r="G30" s="18">
        <f>IFERROR(1/SUMPRODUCT((Sheep!$C$5:$C$23="Common")/INDEX('Rebirth Odds'!$C$9:$AB$27,0,$A30+1)),"-")</f>
        <v>6.2317735641743175</v>
      </c>
      <c r="H30" s="18">
        <f>IFERROR(1/SUMPRODUCT((Sheep!$C$5:$C$23="Uncommon")/INDEX('Rebirth Odds'!$C$9:$AB$27,0,$A30+1)),"-")</f>
        <v>5.5968154927481768</v>
      </c>
      <c r="I30" s="18">
        <f>IFERROR(1/SUMPRODUCT((Sheep!$C$5:$C$23="Rare")/INDEX('Rebirth Odds'!$C$9:$AB$27,0,$A30+1)),"-")</f>
        <v>4.1050187492833512</v>
      </c>
      <c r="J30" s="18">
        <f>IFERROR(1/SUMPRODUCT((Sheep!$C$5:$C$23="Epic")/INDEX('Rebirth Odds'!$C$9:$AB$27,0,$A30+1)),"-")</f>
        <v>3.4330260395686767</v>
      </c>
      <c r="K30" s="18">
        <f>IFERROR(1/SUMPRODUCT((Sheep!$C$5:$C$23="Legendary")/INDEX('Rebirth Odds'!$C$9:$AB$27,0,$A30+1)),"-")</f>
        <v>13.350401268860045</v>
      </c>
      <c r="L30" s="18">
        <f>IFERROR(1/SUMPRODUCT((Sheep!$C$5:$C$23="Mythic")/INDEX('Rebirth Odds'!$C$9:$AB$27,0,$A30+1)),"-")</f>
        <v>19.583867858476346</v>
      </c>
      <c r="M30" s="15">
        <f>C30*Settings!$B$24*SUMPRODUCT(Sheep!$F$5:$F$23/INDEX('Rebirth Odds'!$C$9:$AB$27,0,$A30+1))</f>
        <v>727899.4254321754</v>
      </c>
      <c r="N30" s="14">
        <f t="shared" si="0"/>
        <v>582009395.69360125</v>
      </c>
      <c r="O30" s="7" t="str">
        <f>IF(ISNUMBER(N30),INDEX(Sheep!$A$5:$A$23,MATCH(P30,INDEX('Rebirth Odds'!$C$9:$AB$27,0,$A30+1),0)),"-")</f>
        <v>Vampire Sheep</v>
      </c>
      <c r="P30" s="18">
        <f>IF(ISNUMBER(N30),_xlfn.MAXIFS(INDEX('Rebirth Odds'!$C$9:$AB$27,0,$A30+1),INDEX('Rebirth Odds'!$C$9:$AB$27,0,$A30+1),"&lt;="&amp;N30),"-")</f>
        <v>93.452808882020321</v>
      </c>
    </row>
    <row r="31" spans="1:16" x14ac:dyDescent="0.25">
      <c r="A31" s="7">
        <v>25</v>
      </c>
      <c r="B31" s="14" t="str">
        <f>IF(A31&gt;=Settings!$B$15,"max",FLOOR(Settings!$B$16*Settings!$B$17^A31,1))</f>
        <v>max</v>
      </c>
      <c r="C31" s="35">
        <f>Settings!$B$18^A31</f>
        <v>25251.168294042349</v>
      </c>
      <c r="D31" s="14">
        <f>IF(A31=0,0,FLOOR(Settings!$B$19*Settings!$B$20^(A31-1)*IF(MOD(A31,Settings!$B$21)=0,Settings!$B$22,1),1))</f>
        <v>746160</v>
      </c>
      <c r="E31" s="14">
        <f>SUM($D$6:D31)</f>
        <v>1644029</v>
      </c>
      <c r="F31" s="20">
        <f>1+Settings!$B$14*LOG10(1+E31)</f>
        <v>4.1079548691067549</v>
      </c>
      <c r="G31" s="18">
        <f>IFERROR(1/SUMPRODUCT((Sheep!$C$5:$C$23="Common")/INDEX('Rebirth Odds'!$C$9:$AB$27,0,$A31+1)),"-")</f>
        <v>6.6773091642255666</v>
      </c>
      <c r="H31" s="18">
        <f>IFERROR(1/SUMPRODUCT((Sheep!$C$5:$C$23="Uncommon")/INDEX('Rebirth Odds'!$C$9:$AB$27,0,$A31+1)),"-")</f>
        <v>5.8052080631943506</v>
      </c>
      <c r="I31" s="18">
        <f>IFERROR(1/SUMPRODUCT((Sheep!$C$5:$C$23="Rare")/INDEX('Rebirth Odds'!$C$9:$AB$27,0,$A31+1)),"-")</f>
        <v>4.1217241645756522</v>
      </c>
      <c r="J31" s="18">
        <f>IFERROR(1/SUMPRODUCT((Sheep!$C$5:$C$23="Epic")/INDEX('Rebirth Odds'!$C$9:$AB$27,0,$A31+1)),"-")</f>
        <v>3.3367821719506421</v>
      </c>
      <c r="K31" s="18">
        <f>IFERROR(1/SUMPRODUCT((Sheep!$C$5:$C$23="Legendary")/INDEX('Rebirth Odds'!$C$9:$AB$27,0,$A31+1)),"-")</f>
        <v>12.561226819076479</v>
      </c>
      <c r="L31" s="18">
        <f>IFERROR(1/SUMPRODUCT((Sheep!$C$5:$C$23="Mythic")/INDEX('Rebirth Odds'!$C$9:$AB$27,0,$A31+1)),"-")</f>
        <v>17.837056502817013</v>
      </c>
      <c r="M31" s="15">
        <f>C31*Settings!$B$24*SUMPRODUCT(Sheep!$F$5:$F$23/INDEX('Rebirth Odds'!$C$9:$AB$27,0,$A31+1))</f>
        <v>1117055.9593160248</v>
      </c>
      <c r="N31" s="14" t="str">
        <f t="shared" si="0"/>
        <v>-</v>
      </c>
      <c r="O31" s="7" t="str">
        <f>IF(ISNUMBER(N31),INDEX(Sheep!$A$5:$A$23,MATCH(P31,INDEX('Rebirth Odds'!$C$9:$AB$27,0,$A31+1),0)),"-")</f>
        <v>-</v>
      </c>
      <c r="P31" s="18" t="str">
        <f>IF(ISNUMBER(N31),_xlfn.MAXIFS(INDEX('Rebirth Odds'!$C$9:$AB$27,0,$A31+1),INDEX('Rebirth Odds'!$C$9:$AB$27,0,$A31+1),"&lt;="&amp;N31),"-")</f>
        <v>-</v>
      </c>
    </row>
    <row r="33" spans="1:1" x14ac:dyDescent="0.25">
      <c r="A33" s="2" t="s">
        <v>156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2" customWidth="1"/>
    <col min="3" max="28" width="12" customWidth="1"/>
  </cols>
  <sheetData>
    <row r="1" spans="1:28" ht="18" x14ac:dyDescent="0.25">
      <c r="A1" s="1" t="s">
        <v>157</v>
      </c>
    </row>
    <row r="2" spans="1:28" x14ac:dyDescent="0.25">
      <c r="A2" s="2" t="s">
        <v>158</v>
      </c>
    </row>
    <row r="5" spans="1:28" x14ac:dyDescent="0.25">
      <c r="B5" s="7" t="s">
        <v>137</v>
      </c>
      <c r="C5" s="7">
        <v>0</v>
      </c>
      <c r="D5" s="7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</row>
    <row r="6" spans="1:28" x14ac:dyDescent="0.25">
      <c r="B6" s="7" t="s">
        <v>144</v>
      </c>
      <c r="C6" s="16">
        <f>INDEX(Rebirths!$E$6:$E$31,C$5+1)</f>
        <v>0</v>
      </c>
      <c r="D6" s="16">
        <f>INDEX(Rebirths!$E$6:$E$31,D$5+1)</f>
        <v>50</v>
      </c>
      <c r="E6" s="16">
        <f>INDEX(Rebirths!$E$6:$E$31,E$5+1)</f>
        <v>122</v>
      </c>
      <c r="F6" s="16">
        <f>INDEX(Rebirths!$E$6:$E$31,F$5+1)</f>
        <v>227</v>
      </c>
      <c r="G6" s="16">
        <f>INDEX(Rebirths!$E$6:$E$31,G$5+1)</f>
        <v>379</v>
      </c>
      <c r="H6" s="16">
        <f>INDEX(Rebirths!$E$6:$E$31,H$5+1)</f>
        <v>821</v>
      </c>
      <c r="I6" s="16">
        <f>INDEX(Rebirths!$E$6:$E$31,I$5+1)</f>
        <v>1141</v>
      </c>
      <c r="J6" s="16">
        <f>INDEX(Rebirths!$E$6:$E$31,J$5+1)</f>
        <v>1605</v>
      </c>
      <c r="K6" s="16">
        <f>INDEX(Rebirths!$E$6:$E$31,K$5+1)</f>
        <v>2278</v>
      </c>
      <c r="L6" s="16">
        <f>INDEX(Rebirths!$E$6:$E$31,L$5+1)</f>
        <v>3255</v>
      </c>
      <c r="M6" s="16">
        <f>INDEX(Rebirths!$E$6:$E$31,M$5+1)</f>
        <v>6088</v>
      </c>
      <c r="N6" s="16">
        <f>INDEX(Rebirths!$E$6:$E$31,N$5+1)</f>
        <v>8142</v>
      </c>
      <c r="O6" s="16">
        <f>INDEX(Rebirths!$E$6:$E$31,O$5+1)</f>
        <v>11120</v>
      </c>
      <c r="P6" s="16">
        <f>INDEX(Rebirths!$E$6:$E$31,P$5+1)</f>
        <v>15439</v>
      </c>
      <c r="Q6" s="16">
        <f>INDEX(Rebirths!$E$6:$E$31,Q$5+1)</f>
        <v>21701</v>
      </c>
      <c r="R6" s="16">
        <f>INDEX(Rebirths!$E$6:$E$31,R$5+1)</f>
        <v>39862</v>
      </c>
      <c r="S6" s="16">
        <f>INDEX(Rebirths!$E$6:$E$31,S$5+1)</f>
        <v>53029</v>
      </c>
      <c r="T6" s="16">
        <f>INDEX(Rebirths!$E$6:$E$31,T$5+1)</f>
        <v>72121</v>
      </c>
      <c r="U6" s="16">
        <f>INDEX(Rebirths!$E$6:$E$31,U$5+1)</f>
        <v>99804</v>
      </c>
      <c r="V6" s="16">
        <f>INDEX(Rebirths!$E$6:$E$31,V$5+1)</f>
        <v>139945</v>
      </c>
      <c r="W6" s="16">
        <f>INDEX(Rebirths!$E$6:$E$31,W$5+1)</f>
        <v>256355</v>
      </c>
      <c r="X6" s="16">
        <f>INDEX(Rebirths!$E$6:$E$31,X$5+1)</f>
        <v>340752</v>
      </c>
      <c r="Y6" s="16">
        <f>INDEX(Rebirths!$E$6:$E$31,Y$5+1)</f>
        <v>463128</v>
      </c>
      <c r="Z6" s="16">
        <f>INDEX(Rebirths!$E$6:$E$31,Z$5+1)</f>
        <v>640573</v>
      </c>
      <c r="AA6" s="16">
        <f>INDEX(Rebirths!$E$6:$E$31,AA$5+1)</f>
        <v>897869</v>
      </c>
      <c r="AB6" s="16">
        <f>INDEX(Rebirths!$E$6:$E$31,AB$5+1)</f>
        <v>1644029</v>
      </c>
    </row>
    <row r="7" spans="1:28" x14ac:dyDescent="0.25">
      <c r="B7" s="7" t="s">
        <v>145</v>
      </c>
      <c r="C7" s="36">
        <f>INDEX(Rebirths!$F$6:$F$31,C$5+1)</f>
        <v>1</v>
      </c>
      <c r="D7" s="36">
        <f>INDEX(Rebirths!$F$6:$F$31,D$5+1)</f>
        <v>1.8537850880489681</v>
      </c>
      <c r="E7" s="36">
        <f>INDEX(Rebirths!$F$6:$F$31,E$5+1)</f>
        <v>2.044952555719699</v>
      </c>
      <c r="F7" s="36">
        <f>INDEX(Rebirths!$F$6:$F$31,F$5+1)</f>
        <v>2.178967423500227</v>
      </c>
      <c r="G7" s="36">
        <f>INDEX(Rebirths!$F$6:$F$31,G$5+1)</f>
        <v>2.2898917983084051</v>
      </c>
      <c r="H7" s="36">
        <f>INDEX(Rebirths!$F$6:$F$31,H$5+1)</f>
        <v>2.4574359087700253</v>
      </c>
      <c r="I7" s="36">
        <f>INDEX(Rebirths!$F$6:$F$31,I$5+1)</f>
        <v>2.5288330519549147</v>
      </c>
      <c r="J7" s="36">
        <f>INDEX(Rebirths!$F$6:$F$31,J$5+1)</f>
        <v>2.6028727704713308</v>
      </c>
      <c r="K7" s="36">
        <f>INDEX(Rebirths!$F$6:$F$31,K$5+1)</f>
        <v>2.6788721625901877</v>
      </c>
      <c r="L7" s="36">
        <f>INDEX(Rebirths!$F$6:$F$31,L$5+1)</f>
        <v>2.7563421981085821</v>
      </c>
      <c r="M7" s="36">
        <f>INDEX(Rebirths!$F$6:$F$31,M$5+1)</f>
        <v>2.892272987027261</v>
      </c>
      <c r="N7" s="36">
        <f>INDEX(Rebirths!$F$6:$F$31,N$5+1)</f>
        <v>2.9553922173964189</v>
      </c>
      <c r="O7" s="36">
        <f>INDEX(Rebirths!$F$6:$F$31,O$5+1)</f>
        <v>3.0230719203746133</v>
      </c>
      <c r="P7" s="36">
        <f>INDEX(Rebirths!$F$6:$F$31,P$5+1)</f>
        <v>3.0943236479998588</v>
      </c>
      <c r="Q7" s="36">
        <f>INDEX(Rebirths!$F$6:$F$31,Q$5+1)</f>
        <v>3.1682498795726315</v>
      </c>
      <c r="R7" s="36">
        <f>INDEX(Rebirths!$F$6:$F$31,R$5+1)</f>
        <v>3.3002849898116677</v>
      </c>
      <c r="S7" s="36">
        <f>INDEX(Rebirths!$F$6:$F$31,S$5+1)</f>
        <v>3.3622608135592813</v>
      </c>
      <c r="T7" s="36">
        <f>INDEX(Rebirths!$F$6:$F$31,T$5+1)</f>
        <v>3.4290338807731047</v>
      </c>
      <c r="U7" s="36">
        <f>INDEX(Rebirths!$F$6:$F$31,U$5+1)</f>
        <v>3.4995761494914599</v>
      </c>
      <c r="V7" s="36">
        <f>INDEX(Rebirths!$F$6:$F$31,V$5+1)</f>
        <v>3.5729802448889298</v>
      </c>
      <c r="W7" s="36">
        <f>INDEX(Rebirths!$F$6:$F$31,W$5+1)</f>
        <v>3.7044217432685431</v>
      </c>
      <c r="X7" s="36">
        <f>INDEX(Rebirths!$F$6:$F$31,X$5+1)</f>
        <v>3.7662198440328281</v>
      </c>
      <c r="Y7" s="36">
        <f>INDEX(Rebirths!$F$6:$F$31,Y$5+1)</f>
        <v>3.8328509881493407</v>
      </c>
      <c r="Z7" s="36">
        <f>INDEX(Rebirths!$F$6:$F$31,Z$5+1)</f>
        <v>3.9032846536408896</v>
      </c>
      <c r="AA7" s="36">
        <f>INDEX(Rebirths!$F$6:$F$31,AA$5+1)</f>
        <v>3.9766067304886268</v>
      </c>
      <c r="AB7" s="36">
        <f>INDEX(Rebirths!$F$6:$F$31,AB$5+1)</f>
        <v>4.1079548691067549</v>
      </c>
    </row>
    <row r="8" spans="1:28" ht="30" customHeight="1" x14ac:dyDescent="0.25">
      <c r="A8" s="3" t="s">
        <v>70</v>
      </c>
      <c r="B8" s="3" t="s">
        <v>67</v>
      </c>
      <c r="C8" s="3" t="s">
        <v>159</v>
      </c>
      <c r="D8" s="3" t="s">
        <v>160</v>
      </c>
      <c r="E8" s="3" t="s">
        <v>161</v>
      </c>
      <c r="F8" s="3" t="s">
        <v>162</v>
      </c>
      <c r="G8" s="3" t="s">
        <v>163</v>
      </c>
      <c r="H8" s="3" t="s">
        <v>164</v>
      </c>
      <c r="I8" s="3" t="s">
        <v>165</v>
      </c>
      <c r="J8" s="3" t="s">
        <v>166</v>
      </c>
      <c r="K8" s="3" t="s">
        <v>167</v>
      </c>
      <c r="L8" s="3" t="s">
        <v>168</v>
      </c>
      <c r="M8" s="3" t="s">
        <v>169</v>
      </c>
      <c r="N8" s="3" t="s">
        <v>170</v>
      </c>
      <c r="O8" s="3" t="s">
        <v>171</v>
      </c>
      <c r="P8" s="3" t="s">
        <v>172</v>
      </c>
      <c r="Q8" s="3" t="s">
        <v>173</v>
      </c>
      <c r="R8" s="3" t="s">
        <v>174</v>
      </c>
      <c r="S8" s="3" t="s">
        <v>175</v>
      </c>
      <c r="T8" s="3" t="s">
        <v>176</v>
      </c>
      <c r="U8" s="3" t="s">
        <v>177</v>
      </c>
      <c r="V8" s="3" t="s">
        <v>178</v>
      </c>
      <c r="W8" s="3" t="s">
        <v>179</v>
      </c>
      <c r="X8" s="3" t="s">
        <v>180</v>
      </c>
      <c r="Y8" s="3" t="s">
        <v>181</v>
      </c>
      <c r="Z8" s="3" t="s">
        <v>182</v>
      </c>
      <c r="AA8" s="3" t="s">
        <v>183</v>
      </c>
      <c r="AB8" s="3" t="s">
        <v>184</v>
      </c>
    </row>
    <row r="9" spans="1:28" x14ac:dyDescent="0.25">
      <c r="A9" s="28" t="str">
        <f>Sheep!C5</f>
        <v>Common</v>
      </c>
      <c r="B9" s="28" t="str">
        <f>Sheep!A5</f>
        <v>Basic Sheep</v>
      </c>
      <c r="C9" s="18">
        <f>SUMPRODUCT(Sheep!$H$5:$H$23*C$7^Sheep!$D$5:$D$23)/(Sheep!$H5*C$7^Sheep!$D5)</f>
        <v>2.1105800000000001</v>
      </c>
      <c r="D9" s="18">
        <f>SUMPRODUCT(Sheep!$H$5:$H$23*D$7^Sheep!$D$5:$D$23)/(Sheep!$H5*D$7^Sheep!$D5)</f>
        <v>3.0928695843448426</v>
      </c>
      <c r="E9" s="18">
        <f>SUMPRODUCT(Sheep!$H$5:$H$23*E$7^Sheep!$D$5:$D$23)/(Sheep!$H5*E$7^Sheep!$D5)</f>
        <v>3.3974811247867689</v>
      </c>
      <c r="F9" s="18">
        <f>SUMPRODUCT(Sheep!$H$5:$H$23*F$7^Sheep!$D$5:$D$23)/(Sheep!$H5*F$7^Sheep!$D5)</f>
        <v>3.6335211516677708</v>
      </c>
      <c r="G9" s="18">
        <f>SUMPRODUCT(Sheep!$H$5:$H$23*G$7^Sheep!$D$5:$D$23)/(Sheep!$H5*G$7^Sheep!$D5)</f>
        <v>3.8439577023897753</v>
      </c>
      <c r="H9" s="18">
        <f>SUMPRODUCT(Sheep!$H$5:$H$23*H$7^Sheep!$D$5:$D$23)/(Sheep!$H5*H$7^Sheep!$D5)</f>
        <v>4.1894611737206118</v>
      </c>
      <c r="I9" s="18">
        <f>SUMPRODUCT(Sheep!$H$5:$H$23*I$7^Sheep!$D$5:$D$23)/(Sheep!$H5*I$7^Sheep!$D5)</f>
        <v>4.3473816652653952</v>
      </c>
      <c r="J9" s="18">
        <f>SUMPRODUCT(Sheep!$H$5:$H$23*J$7^Sheep!$D$5:$D$23)/(Sheep!$H5*J$7^Sheep!$D5)</f>
        <v>4.5182312165544776</v>
      </c>
      <c r="K9" s="18">
        <f>SUMPRODUCT(Sheep!$H$5:$H$23*K$7^Sheep!$D$5:$D$23)/(Sheep!$H5*K$7^Sheep!$D5)</f>
        <v>4.7013662572078054</v>
      </c>
      <c r="L9" s="18">
        <f>SUMPRODUCT(Sheep!$H$5:$H$23*L$7^Sheep!$D$5:$D$23)/(Sheep!$H5*L$7^Sheep!$D5)</f>
        <v>4.896427500121062</v>
      </c>
      <c r="M9" s="18">
        <f>SUMPRODUCT(Sheep!$H$5:$H$23*M$7^Sheep!$D$5:$D$23)/(Sheep!$H5*M$7^Sheep!$D5)</f>
        <v>5.2600596387277738</v>
      </c>
      <c r="N9" s="18">
        <f>SUMPRODUCT(Sheep!$H$5:$H$23*N$7^Sheep!$D$5:$D$23)/(Sheep!$H5*N$7^Sheep!$D5)</f>
        <v>5.438561617475365</v>
      </c>
      <c r="O9" s="18">
        <f>SUMPRODUCT(Sheep!$H$5:$H$23*O$7^Sheep!$D$5:$D$23)/(Sheep!$H5*O$7^Sheep!$D5)</f>
        <v>5.637034905111034</v>
      </c>
      <c r="P9" s="18">
        <f>SUMPRODUCT(Sheep!$H$5:$H$23*P$7^Sheep!$D$5:$D$23)/(Sheep!$H5*P$7^Sheep!$D5)</f>
        <v>5.8541334776761449</v>
      </c>
      <c r="Q9" s="18">
        <f>SUMPRODUCT(Sheep!$H$5:$H$23*Q$7^Sheep!$D$5:$D$23)/(Sheep!$H5*Q$7^Sheep!$D5)</f>
        <v>6.0884972966452517</v>
      </c>
      <c r="R9" s="18">
        <f>SUMPRODUCT(Sheep!$H$5:$H$23*R$7^Sheep!$D$5:$D$23)/(Sheep!$H5*R$7^Sheep!$D5)</f>
        <v>6.5311294624444143</v>
      </c>
      <c r="S9" s="18">
        <f>SUMPRODUCT(Sheep!$H$5:$H$23*S$7^Sheep!$D$5:$D$23)/(Sheep!$H5*S$7^Sheep!$D5)</f>
        <v>6.749947202333594</v>
      </c>
      <c r="T9" s="18">
        <f>SUMPRODUCT(Sheep!$H$5:$H$23*T$7^Sheep!$D$5:$D$23)/(Sheep!$H5*T$7^Sheep!$D5)</f>
        <v>6.9939024858496115</v>
      </c>
      <c r="U9" s="18">
        <f>SUMPRODUCT(Sheep!$H$5:$H$23*U$7^Sheep!$D$5:$D$23)/(Sheep!$H5*U$7^Sheep!$D5)</f>
        <v>7.261131777460875</v>
      </c>
      <c r="V9" s="18">
        <f>SUMPRODUCT(Sheep!$H$5:$H$23*V$7^Sheep!$D$5:$D$23)/(Sheep!$H5*V$7^Sheep!$D5)</f>
        <v>7.5498798287119468</v>
      </c>
      <c r="W9" s="18">
        <f>SUMPRODUCT(Sheep!$H$5:$H$23*W$7^Sheep!$D$5:$D$23)/(Sheep!$H5*W$7^Sheep!$D5)</f>
        <v>8.0952021238687575</v>
      </c>
      <c r="X9" s="18">
        <f>SUMPRODUCT(Sheep!$H$5:$H$23*X$7^Sheep!$D$5:$D$23)/(Sheep!$H5*X$7^Sheep!$D5)</f>
        <v>8.3645986386609046</v>
      </c>
      <c r="Y9" s="18">
        <f>SUMPRODUCT(Sheep!$H$5:$H$23*Y$7^Sheep!$D$5:$D$23)/(Sheep!$H5*Y$7^Sheep!$D5)</f>
        <v>8.6647229524927738</v>
      </c>
      <c r="Z9" s="18">
        <f>SUMPRODUCT(Sheep!$H$5:$H$23*Z$7^Sheep!$D$5:$D$23)/(Sheep!$H5*Z$7^Sheep!$D5)</f>
        <v>8.993169775396634</v>
      </c>
      <c r="AA9" s="18">
        <f>SUMPRODUCT(Sheep!$H$5:$H$23*AA$7^Sheep!$D$5:$D$23)/(Sheep!$H5*AA$7^Sheep!$D5)</f>
        <v>9.3476603462614758</v>
      </c>
      <c r="AB9" s="18">
        <f>SUMPRODUCT(Sheep!$H$5:$H$23*AB$7^Sheep!$D$5:$D$23)/(Sheep!$H5*AB$7^Sheep!$D5)</f>
        <v>10.01596374633835</v>
      </c>
    </row>
    <row r="10" spans="1:28" x14ac:dyDescent="0.25">
      <c r="A10" s="28" t="str">
        <f>Sheep!C6</f>
        <v>Common</v>
      </c>
      <c r="B10" s="28" t="str">
        <f>Sheep!A6</f>
        <v>Grey Sheep</v>
      </c>
      <c r="C10" s="18">
        <f>SUMPRODUCT(Sheep!$H$5:$H$23*C$7^Sheep!$D$5:$D$23)/(Sheep!$H6*C$7^Sheep!$D6)</f>
        <v>4.2211600000000002</v>
      </c>
      <c r="D10" s="18">
        <f>SUMPRODUCT(Sheep!$H$5:$H$23*D$7^Sheep!$D$5:$D$23)/(Sheep!$H6*D$7^Sheep!$D6)</f>
        <v>6.1857391686896852</v>
      </c>
      <c r="E10" s="18">
        <f>SUMPRODUCT(Sheep!$H$5:$H$23*E$7^Sheep!$D$5:$D$23)/(Sheep!$H6*E$7^Sheep!$D6)</f>
        <v>6.7949622495735378</v>
      </c>
      <c r="F10" s="18">
        <f>SUMPRODUCT(Sheep!$H$5:$H$23*F$7^Sheep!$D$5:$D$23)/(Sheep!$H6*F$7^Sheep!$D6)</f>
        <v>7.2670423033355416</v>
      </c>
      <c r="G10" s="18">
        <f>SUMPRODUCT(Sheep!$H$5:$H$23*G$7^Sheep!$D$5:$D$23)/(Sheep!$H6*G$7^Sheep!$D6)</f>
        <v>7.6879154047795506</v>
      </c>
      <c r="H10" s="18">
        <f>SUMPRODUCT(Sheep!$H$5:$H$23*H$7^Sheep!$D$5:$D$23)/(Sheep!$H6*H$7^Sheep!$D6)</f>
        <v>8.3789223474412236</v>
      </c>
      <c r="I10" s="18">
        <f>SUMPRODUCT(Sheep!$H$5:$H$23*I$7^Sheep!$D$5:$D$23)/(Sheep!$H6*I$7^Sheep!$D6)</f>
        <v>8.6947633305307903</v>
      </c>
      <c r="J10" s="18">
        <f>SUMPRODUCT(Sheep!$H$5:$H$23*J$7^Sheep!$D$5:$D$23)/(Sheep!$H6*J$7^Sheep!$D6)</f>
        <v>9.0364624331089551</v>
      </c>
      <c r="K10" s="18">
        <f>SUMPRODUCT(Sheep!$H$5:$H$23*K$7^Sheep!$D$5:$D$23)/(Sheep!$H6*K$7^Sheep!$D6)</f>
        <v>9.4027325144156109</v>
      </c>
      <c r="L10" s="18">
        <f>SUMPRODUCT(Sheep!$H$5:$H$23*L$7^Sheep!$D$5:$D$23)/(Sheep!$H6*L$7^Sheep!$D6)</f>
        <v>9.792855000242124</v>
      </c>
      <c r="M10" s="18">
        <f>SUMPRODUCT(Sheep!$H$5:$H$23*M$7^Sheep!$D$5:$D$23)/(Sheep!$H6*M$7^Sheep!$D6)</f>
        <v>10.520119277455548</v>
      </c>
      <c r="N10" s="18">
        <f>SUMPRODUCT(Sheep!$H$5:$H$23*N$7^Sheep!$D$5:$D$23)/(Sheep!$H6*N$7^Sheep!$D6)</f>
        <v>10.87712323495073</v>
      </c>
      <c r="O10" s="18">
        <f>SUMPRODUCT(Sheep!$H$5:$H$23*O$7^Sheep!$D$5:$D$23)/(Sheep!$H6*O$7^Sheep!$D6)</f>
        <v>11.274069810222068</v>
      </c>
      <c r="P10" s="18">
        <f>SUMPRODUCT(Sheep!$H$5:$H$23*P$7^Sheep!$D$5:$D$23)/(Sheep!$H6*P$7^Sheep!$D6)</f>
        <v>11.70826695535229</v>
      </c>
      <c r="Q10" s="18">
        <f>SUMPRODUCT(Sheep!$H$5:$H$23*Q$7^Sheep!$D$5:$D$23)/(Sheep!$H6*Q$7^Sheep!$D6)</f>
        <v>12.176994593290503</v>
      </c>
      <c r="R10" s="18">
        <f>SUMPRODUCT(Sheep!$H$5:$H$23*R$7^Sheep!$D$5:$D$23)/(Sheep!$H6*R$7^Sheep!$D6)</f>
        <v>13.062258924888829</v>
      </c>
      <c r="S10" s="18">
        <f>SUMPRODUCT(Sheep!$H$5:$H$23*S$7^Sheep!$D$5:$D$23)/(Sheep!$H6*S$7^Sheep!$D6)</f>
        <v>13.499894404667188</v>
      </c>
      <c r="T10" s="18">
        <f>SUMPRODUCT(Sheep!$H$5:$H$23*T$7^Sheep!$D$5:$D$23)/(Sheep!$H6*T$7^Sheep!$D6)</f>
        <v>13.987804971699223</v>
      </c>
      <c r="U10" s="18">
        <f>SUMPRODUCT(Sheep!$H$5:$H$23*U$7^Sheep!$D$5:$D$23)/(Sheep!$H6*U$7^Sheep!$D6)</f>
        <v>14.52226355492175</v>
      </c>
      <c r="V10" s="18">
        <f>SUMPRODUCT(Sheep!$H$5:$H$23*V$7^Sheep!$D$5:$D$23)/(Sheep!$H6*V$7^Sheep!$D6)</f>
        <v>15.099759657423894</v>
      </c>
      <c r="W10" s="18">
        <f>SUMPRODUCT(Sheep!$H$5:$H$23*W$7^Sheep!$D$5:$D$23)/(Sheep!$H6*W$7^Sheep!$D6)</f>
        <v>16.190404247737515</v>
      </c>
      <c r="X10" s="18">
        <f>SUMPRODUCT(Sheep!$H$5:$H$23*X$7^Sheep!$D$5:$D$23)/(Sheep!$H6*X$7^Sheep!$D6)</f>
        <v>16.729197277321809</v>
      </c>
      <c r="Y10" s="18">
        <f>SUMPRODUCT(Sheep!$H$5:$H$23*Y$7^Sheep!$D$5:$D$23)/(Sheep!$H6*Y$7^Sheep!$D6)</f>
        <v>17.329445904985548</v>
      </c>
      <c r="Z10" s="18">
        <f>SUMPRODUCT(Sheep!$H$5:$H$23*Z$7^Sheep!$D$5:$D$23)/(Sheep!$H6*Z$7^Sheep!$D6)</f>
        <v>17.986339550793268</v>
      </c>
      <c r="AA10" s="18">
        <f>SUMPRODUCT(Sheep!$H$5:$H$23*AA$7^Sheep!$D$5:$D$23)/(Sheep!$H6*AA$7^Sheep!$D6)</f>
        <v>18.695320692522952</v>
      </c>
      <c r="AB10" s="18">
        <f>SUMPRODUCT(Sheep!$H$5:$H$23*AB$7^Sheep!$D$5:$D$23)/(Sheep!$H6*AB$7^Sheep!$D6)</f>
        <v>20.031927492676701</v>
      </c>
    </row>
    <row r="11" spans="1:28" x14ac:dyDescent="0.25">
      <c r="A11" s="28" t="str">
        <f>Sheep!C7</f>
        <v>Uncommon</v>
      </c>
      <c r="B11" s="28" t="str">
        <f>Sheep!A7</f>
        <v>Brown Sheep</v>
      </c>
      <c r="C11" s="18">
        <f>SUMPRODUCT(Sheep!$H$5:$H$23*C$7^Sheep!$D$5:$D$23)/(Sheep!$H7*C$7^Sheep!$D7)</f>
        <v>7.0352666666666668</v>
      </c>
      <c r="D11" s="18">
        <f>SUMPRODUCT(Sheep!$H$5:$H$23*D$7^Sheep!$D$5:$D$23)/(Sheep!$H7*D$7^Sheep!$D7)</f>
        <v>5.5613594842322662</v>
      </c>
      <c r="E11" s="18">
        <f>SUMPRODUCT(Sheep!$H$5:$H$23*E$7^Sheep!$D$5:$D$23)/(Sheep!$H7*E$7^Sheep!$D7)</f>
        <v>5.5379950263133972</v>
      </c>
      <c r="F11" s="18">
        <f>SUMPRODUCT(Sheep!$H$5:$H$23*F$7^Sheep!$D$5:$D$23)/(Sheep!$H7*F$7^Sheep!$D7)</f>
        <v>5.5584755612224699</v>
      </c>
      <c r="G11" s="18">
        <f>SUMPRODUCT(Sheep!$H$5:$H$23*G$7^Sheep!$D$5:$D$23)/(Sheep!$H7*G$7^Sheep!$D7)</f>
        <v>5.5955448859044985</v>
      </c>
      <c r="H11" s="18">
        <f>SUMPRODUCT(Sheep!$H$5:$H$23*H$7^Sheep!$D$5:$D$23)/(Sheep!$H7*H$7^Sheep!$D7)</f>
        <v>5.6826998129356241</v>
      </c>
      <c r="I11" s="18">
        <f>SUMPRODUCT(Sheep!$H$5:$H$23*I$7^Sheep!$D$5:$D$23)/(Sheep!$H7*I$7^Sheep!$D7)</f>
        <v>5.7304187029463396</v>
      </c>
      <c r="J11" s="18">
        <f>SUMPRODUCT(Sheep!$H$5:$H$23*J$7^Sheep!$D$5:$D$23)/(Sheep!$H7*J$7^Sheep!$D7)</f>
        <v>5.7862108715828784</v>
      </c>
      <c r="K11" s="18">
        <f>SUMPRODUCT(Sheep!$H$5:$H$23*K$7^Sheep!$D$5:$D$23)/(Sheep!$H7*K$7^Sheep!$D7)</f>
        <v>5.8499323245820474</v>
      </c>
      <c r="L11" s="18">
        <f>SUMPRODUCT(Sheep!$H$5:$H$23*L$7^Sheep!$D$5:$D$23)/(Sheep!$H7*L$7^Sheep!$D7)</f>
        <v>5.921407367925287</v>
      </c>
      <c r="M11" s="18">
        <f>SUMPRODUCT(Sheep!$H$5:$H$23*M$7^Sheep!$D$5:$D$23)/(Sheep!$H7*M$7^Sheep!$D7)</f>
        <v>6.0621982114882984</v>
      </c>
      <c r="N11" s="18">
        <f>SUMPRODUCT(Sheep!$H$5:$H$23*N$7^Sheep!$D$5:$D$23)/(Sheep!$H7*N$7^Sheep!$D7)</f>
        <v>6.1340551072061746</v>
      </c>
      <c r="O11" s="18">
        <f>SUMPRODUCT(Sheep!$H$5:$H$23*O$7^Sheep!$D$5:$D$23)/(Sheep!$H7*O$7^Sheep!$D7)</f>
        <v>6.2155704016600701</v>
      </c>
      <c r="P11" s="18">
        <f>SUMPRODUCT(Sheep!$H$5:$H$23*P$7^Sheep!$D$5:$D$23)/(Sheep!$H7*P$7^Sheep!$D7)</f>
        <v>6.3063145548895641</v>
      </c>
      <c r="Q11" s="18">
        <f>SUMPRODUCT(Sheep!$H$5:$H$23*Q$7^Sheep!$D$5:$D$23)/(Sheep!$H7*Q$7^Sheep!$D7)</f>
        <v>6.4057418954451659</v>
      </c>
      <c r="R11" s="18">
        <f>SUMPRODUCT(Sheep!$H$5:$H$23*R$7^Sheep!$D$5:$D$23)/(Sheep!$H7*R$7^Sheep!$D7)</f>
        <v>6.5965307870953653</v>
      </c>
      <c r="S11" s="18">
        <f>SUMPRODUCT(Sheep!$H$5:$H$23*S$7^Sheep!$D$5:$D$23)/(Sheep!$H7*S$7^Sheep!$D7)</f>
        <v>6.6918734909087512</v>
      </c>
      <c r="T11" s="18">
        <f>SUMPRODUCT(Sheep!$H$5:$H$23*T$7^Sheep!$D$5:$D$23)/(Sheep!$H7*T$7^Sheep!$D7)</f>
        <v>6.7987103938760898</v>
      </c>
      <c r="U11" s="18">
        <f>SUMPRODUCT(Sheep!$H$5:$H$23*U$7^Sheep!$D$5:$D$23)/(Sheep!$H7*U$7^Sheep!$D7)</f>
        <v>6.9162011505460219</v>
      </c>
      <c r="V11" s="18">
        <f>SUMPRODUCT(Sheep!$H$5:$H$23*V$7^Sheep!$D$5:$D$23)/(Sheep!$H7*V$7^Sheep!$D7)</f>
        <v>7.0434943298962498</v>
      </c>
      <c r="W11" s="18">
        <f>SUMPRODUCT(Sheep!$H$5:$H$23*W$7^Sheep!$D$5:$D$23)/(Sheep!$H7*W$7^Sheep!$D7)</f>
        <v>7.2842697051425844</v>
      </c>
      <c r="X11" s="18">
        <f>SUMPRODUCT(Sheep!$H$5:$H$23*X$7^Sheep!$D$5:$D$23)/(Sheep!$H7*X$7^Sheep!$D7)</f>
        <v>7.4031778857463815</v>
      </c>
      <c r="Y11" s="18">
        <f>SUMPRODUCT(Sheep!$H$5:$H$23*Y$7^Sheep!$D$5:$D$23)/(Sheep!$H7*Y$7^Sheep!$D7)</f>
        <v>7.5354898823207837</v>
      </c>
      <c r="Z11" s="18">
        <f>SUMPRODUCT(Sheep!$H$5:$H$23*Z$7^Sheep!$D$5:$D$23)/(Sheep!$H7*Z$7^Sheep!$D7)</f>
        <v>7.6800016510949085</v>
      </c>
      <c r="AA11" s="18">
        <f>SUMPRODUCT(Sheep!$H$5:$H$23*AA$7^Sheep!$D$5:$D$23)/(Sheep!$H7*AA$7^Sheep!$D7)</f>
        <v>7.8355416898474468</v>
      </c>
      <c r="AB11" s="18">
        <f>SUMPRODUCT(Sheep!$H$5:$H$23*AB$7^Sheep!$D$5:$D$23)/(Sheep!$H7*AB$7^Sheep!$D7)</f>
        <v>8.1272912884720903</v>
      </c>
    </row>
    <row r="12" spans="1:28" x14ac:dyDescent="0.25">
      <c r="A12" s="28" t="str">
        <f>Sheep!C8</f>
        <v>Uncommon</v>
      </c>
      <c r="B12" s="28" t="str">
        <f>Sheep!A8</f>
        <v>Black Sheep</v>
      </c>
      <c r="C12" s="18">
        <f>SUMPRODUCT(Sheep!$H$5:$H$23*C$7^Sheep!$D$5:$D$23)/(Sheep!$H8*C$7^Sheep!$D8)</f>
        <v>17.588166666666666</v>
      </c>
      <c r="D12" s="18">
        <f>SUMPRODUCT(Sheep!$H$5:$H$23*D$7^Sheep!$D$5:$D$23)/(Sheep!$H8*D$7^Sheep!$D8)</f>
        <v>13.903398710580664</v>
      </c>
      <c r="E12" s="18">
        <f>SUMPRODUCT(Sheep!$H$5:$H$23*E$7^Sheep!$D$5:$D$23)/(Sheep!$H8*E$7^Sheep!$D8)</f>
        <v>13.844987565783493</v>
      </c>
      <c r="F12" s="18">
        <f>SUMPRODUCT(Sheep!$H$5:$H$23*F$7^Sheep!$D$5:$D$23)/(Sheep!$H8*F$7^Sheep!$D8)</f>
        <v>13.896188903056174</v>
      </c>
      <c r="G12" s="18">
        <f>SUMPRODUCT(Sheep!$H$5:$H$23*G$7^Sheep!$D$5:$D$23)/(Sheep!$H8*G$7^Sheep!$D8)</f>
        <v>13.988862214761246</v>
      </c>
      <c r="H12" s="18">
        <f>SUMPRODUCT(Sheep!$H$5:$H$23*H$7^Sheep!$D$5:$D$23)/(Sheep!$H8*H$7^Sheep!$D8)</f>
        <v>14.20674953233906</v>
      </c>
      <c r="I12" s="18">
        <f>SUMPRODUCT(Sheep!$H$5:$H$23*I$7^Sheep!$D$5:$D$23)/(Sheep!$H8*I$7^Sheep!$D8)</f>
        <v>14.326046757365852</v>
      </c>
      <c r="J12" s="18">
        <f>SUMPRODUCT(Sheep!$H$5:$H$23*J$7^Sheep!$D$5:$D$23)/(Sheep!$H8*J$7^Sheep!$D8)</f>
        <v>14.465527178957194</v>
      </c>
      <c r="K12" s="18">
        <f>SUMPRODUCT(Sheep!$H$5:$H$23*K$7^Sheep!$D$5:$D$23)/(Sheep!$H8*K$7^Sheep!$D8)</f>
        <v>14.624830811455118</v>
      </c>
      <c r="L12" s="18">
        <f>SUMPRODUCT(Sheep!$H$5:$H$23*L$7^Sheep!$D$5:$D$23)/(Sheep!$H8*L$7^Sheep!$D8)</f>
        <v>14.803518419813217</v>
      </c>
      <c r="M12" s="18">
        <f>SUMPRODUCT(Sheep!$H$5:$H$23*M$7^Sheep!$D$5:$D$23)/(Sheep!$H8*M$7^Sheep!$D8)</f>
        <v>15.155495528720746</v>
      </c>
      <c r="N12" s="18">
        <f>SUMPRODUCT(Sheep!$H$5:$H$23*N$7^Sheep!$D$5:$D$23)/(Sheep!$H8*N$7^Sheep!$D8)</f>
        <v>15.335137768015436</v>
      </c>
      <c r="O12" s="18">
        <f>SUMPRODUCT(Sheep!$H$5:$H$23*O$7^Sheep!$D$5:$D$23)/(Sheep!$H8*O$7^Sheep!$D8)</f>
        <v>15.538926004150177</v>
      </c>
      <c r="P12" s="18">
        <f>SUMPRODUCT(Sheep!$H$5:$H$23*P$7^Sheep!$D$5:$D$23)/(Sheep!$H8*P$7^Sheep!$D8)</f>
        <v>15.76578638722391</v>
      </c>
      <c r="Q12" s="18">
        <f>SUMPRODUCT(Sheep!$H$5:$H$23*Q$7^Sheep!$D$5:$D$23)/(Sheep!$H8*Q$7^Sheep!$D8)</f>
        <v>16.014354738612912</v>
      </c>
      <c r="R12" s="18">
        <f>SUMPRODUCT(Sheep!$H$5:$H$23*R$7^Sheep!$D$5:$D$23)/(Sheep!$H8*R$7^Sheep!$D8)</f>
        <v>16.491326967738413</v>
      </c>
      <c r="S12" s="18">
        <f>SUMPRODUCT(Sheep!$H$5:$H$23*S$7^Sheep!$D$5:$D$23)/(Sheep!$H8*S$7^Sheep!$D8)</f>
        <v>16.72968372727188</v>
      </c>
      <c r="T12" s="18">
        <f>SUMPRODUCT(Sheep!$H$5:$H$23*T$7^Sheep!$D$5:$D$23)/(Sheep!$H8*T$7^Sheep!$D8)</f>
        <v>16.996775984690224</v>
      </c>
      <c r="U12" s="18">
        <f>SUMPRODUCT(Sheep!$H$5:$H$23*U$7^Sheep!$D$5:$D$23)/(Sheep!$H8*U$7^Sheep!$D8)</f>
        <v>17.290502876365053</v>
      </c>
      <c r="V12" s="18">
        <f>SUMPRODUCT(Sheep!$H$5:$H$23*V$7^Sheep!$D$5:$D$23)/(Sheep!$H8*V$7^Sheep!$D8)</f>
        <v>17.608735824740624</v>
      </c>
      <c r="W12" s="18">
        <f>SUMPRODUCT(Sheep!$H$5:$H$23*W$7^Sheep!$D$5:$D$23)/(Sheep!$H8*W$7^Sheep!$D8)</f>
        <v>18.210674262856461</v>
      </c>
      <c r="X12" s="18">
        <f>SUMPRODUCT(Sheep!$H$5:$H$23*X$7^Sheep!$D$5:$D$23)/(Sheep!$H8*X$7^Sheep!$D8)</f>
        <v>18.507944714365951</v>
      </c>
      <c r="Y12" s="18">
        <f>SUMPRODUCT(Sheep!$H$5:$H$23*Y$7^Sheep!$D$5:$D$23)/(Sheep!$H8*Y$7^Sheep!$D8)</f>
        <v>18.838724705801962</v>
      </c>
      <c r="Z12" s="18">
        <f>SUMPRODUCT(Sheep!$H$5:$H$23*Z$7^Sheep!$D$5:$D$23)/(Sheep!$H8*Z$7^Sheep!$D8)</f>
        <v>19.200004127737269</v>
      </c>
      <c r="AA12" s="18">
        <f>SUMPRODUCT(Sheep!$H$5:$H$23*AA$7^Sheep!$D$5:$D$23)/(Sheep!$H8*AA$7^Sheep!$D8)</f>
        <v>19.588854224618618</v>
      </c>
      <c r="AB12" s="18">
        <f>SUMPRODUCT(Sheep!$H$5:$H$23*AB$7^Sheep!$D$5:$D$23)/(Sheep!$H8*AB$7^Sheep!$D8)</f>
        <v>20.318228221180227</v>
      </c>
    </row>
    <row r="13" spans="1:28" x14ac:dyDescent="0.25">
      <c r="A13" s="28" t="str">
        <f>Sheep!C9</f>
        <v>Rare</v>
      </c>
      <c r="B13" s="28" t="str">
        <f>Sheep!A9</f>
        <v>Fluffy Sheep</v>
      </c>
      <c r="C13" s="18">
        <f>SUMPRODUCT(Sheep!$H$5:$H$23*C$7^Sheep!$D$5:$D$23)/(Sheep!$H9*C$7^Sheep!$D9)</f>
        <v>35.176333333333332</v>
      </c>
      <c r="D13" s="18">
        <f>SUMPRODUCT(Sheep!$H$5:$H$23*D$7^Sheep!$D$5:$D$23)/(Sheep!$H9*D$7^Sheep!$D9)</f>
        <v>15.000011382347903</v>
      </c>
      <c r="E13" s="18">
        <f>SUMPRODUCT(Sheep!$H$5:$H$23*E$7^Sheep!$D$5:$D$23)/(Sheep!$H9*E$7^Sheep!$D9)</f>
        <v>13.54064428248889</v>
      </c>
      <c r="F13" s="18">
        <f>SUMPRODUCT(Sheep!$H$5:$H$23*F$7^Sheep!$D$5:$D$23)/(Sheep!$H9*F$7^Sheep!$D9)</f>
        <v>12.754838602161163</v>
      </c>
      <c r="G13" s="18">
        <f>SUMPRODUCT(Sheep!$H$5:$H$23*G$7^Sheep!$D$5:$D$23)/(Sheep!$H9*G$7^Sheep!$D9)</f>
        <v>12.217924205060811</v>
      </c>
      <c r="H13" s="18">
        <f>SUMPRODUCT(Sheep!$H$5:$H$23*H$7^Sheep!$D$5:$D$23)/(Sheep!$H9*H$7^Sheep!$D9)</f>
        <v>11.562254365730091</v>
      </c>
      <c r="I13" s="18">
        <f>SUMPRODUCT(Sheep!$H$5:$H$23*I$7^Sheep!$D$5:$D$23)/(Sheep!$H9*I$7^Sheep!$D9)</f>
        <v>11.330164121582561</v>
      </c>
      <c r="J13" s="18">
        <f>SUMPRODUCT(Sheep!$H$5:$H$23*J$7^Sheep!$D$5:$D$23)/(Sheep!$H9*J$7^Sheep!$D9)</f>
        <v>11.115047453001527</v>
      </c>
      <c r="K13" s="18">
        <f>SUMPRODUCT(Sheep!$H$5:$H$23*K$7^Sheep!$D$5:$D$23)/(Sheep!$H9*K$7^Sheep!$D9)</f>
        <v>10.918647791923332</v>
      </c>
      <c r="L13" s="18">
        <f>SUMPRODUCT(Sheep!$H$5:$H$23*L$7^Sheep!$D$5:$D$23)/(Sheep!$H9*L$7^Sheep!$D9)</f>
        <v>10.741422766717049</v>
      </c>
      <c r="M13" s="18">
        <f>SUMPRODUCT(Sheep!$H$5:$H$23*M$7^Sheep!$D$5:$D$23)/(Sheep!$H9*M$7^Sheep!$D9)</f>
        <v>10.479989680571531</v>
      </c>
      <c r="N13" s="18">
        <f>SUMPRODUCT(Sheep!$H$5:$H$23*N$7^Sheep!$D$5:$D$23)/(Sheep!$H9*N$7^Sheep!$D9)</f>
        <v>10.377734418969995</v>
      </c>
      <c r="O13" s="18">
        <f>SUMPRODUCT(Sheep!$H$5:$H$23*O$7^Sheep!$D$5:$D$23)/(Sheep!$H9*O$7^Sheep!$D9)</f>
        <v>10.280222511030848</v>
      </c>
      <c r="P13" s="18">
        <f>SUMPRODUCT(Sheep!$H$5:$H$23*P$7^Sheep!$D$5:$D$23)/(Sheep!$H9*P$7^Sheep!$D9)</f>
        <v>10.190134052341142</v>
      </c>
      <c r="Q13" s="18">
        <f>SUMPRODUCT(Sheep!$H$5:$H$23*Q$7^Sheep!$D$5:$D$23)/(Sheep!$H9*Q$7^Sheep!$D9)</f>
        <v>10.109275055522518</v>
      </c>
      <c r="R13" s="18">
        <f>SUMPRODUCT(Sheep!$H$5:$H$23*R$7^Sheep!$D$5:$D$23)/(Sheep!$H9*R$7^Sheep!$D9)</f>
        <v>9.9938805398012018</v>
      </c>
      <c r="S13" s="18">
        <f>SUMPRODUCT(Sheep!$H$5:$H$23*S$7^Sheep!$D$5:$D$23)/(Sheep!$H9*S$7^Sheep!$D9)</f>
        <v>9.9514491319677703</v>
      </c>
      <c r="T13" s="18">
        <f>SUMPRODUCT(Sheep!$H$5:$H$23*T$7^Sheep!$D$5:$D$23)/(Sheep!$H9*T$7^Sheep!$D9)</f>
        <v>9.9134488463311179</v>
      </c>
      <c r="U13" s="18">
        <f>SUMPRODUCT(Sheep!$H$5:$H$23*U$7^Sheep!$D$5:$D$23)/(Sheep!$H9*U$7^Sheep!$D9)</f>
        <v>9.8814840070718954</v>
      </c>
      <c r="V13" s="18">
        <f>SUMPRODUCT(Sheep!$H$5:$H$23*V$7^Sheep!$D$5:$D$23)/(Sheep!$H9*V$7^Sheep!$D9)</f>
        <v>9.8566096747551484</v>
      </c>
      <c r="W13" s="18">
        <f>SUMPRODUCT(Sheep!$H$5:$H$23*W$7^Sheep!$D$5:$D$23)/(Sheep!$H9*W$7^Sheep!$D9)</f>
        <v>9.8318579929230925</v>
      </c>
      <c r="X13" s="18">
        <f>SUMPRODUCT(Sheep!$H$5:$H$23*X$7^Sheep!$D$5:$D$23)/(Sheep!$H9*X$7^Sheep!$D9)</f>
        <v>9.8283931798032498</v>
      </c>
      <c r="Y13" s="18">
        <f>SUMPRODUCT(Sheep!$H$5:$H$23*Y$7^Sheep!$D$5:$D$23)/(Sheep!$H9*Y$7^Sheep!$D9)</f>
        <v>9.8301367645383344</v>
      </c>
      <c r="Z13" s="18">
        <f>SUMPRODUCT(Sheep!$H$5:$H$23*Z$7^Sheep!$D$5:$D$23)/(Sheep!$H9*Z$7^Sheep!$D9)</f>
        <v>9.8378703227949149</v>
      </c>
      <c r="AA13" s="18">
        <f>SUMPRODUCT(Sheep!$H$5:$H$23*AA$7^Sheep!$D$5:$D$23)/(Sheep!$H9*AA$7^Sheep!$D9)</f>
        <v>9.8520449982800429</v>
      </c>
      <c r="AB13" s="18">
        <f>SUMPRODUCT(Sheep!$H$5:$H$23*AB$7^Sheep!$D$5:$D$23)/(Sheep!$H9*AB$7^Sheep!$D9)</f>
        <v>9.8921379949815638</v>
      </c>
    </row>
    <row r="14" spans="1:28" x14ac:dyDescent="0.25">
      <c r="A14" s="28" t="str">
        <f>Sheep!C10</f>
        <v>Rare</v>
      </c>
      <c r="B14" s="28" t="str">
        <f>Sheep!A10</f>
        <v>Cotton Candy Sheep</v>
      </c>
      <c r="C14" s="18">
        <f>SUMPRODUCT(Sheep!$H$5:$H$23*C$7^Sheep!$D$5:$D$23)/(Sheep!$H10*C$7^Sheep!$D10)</f>
        <v>47.967727272727274</v>
      </c>
      <c r="D14" s="18">
        <f>SUMPRODUCT(Sheep!$H$5:$H$23*D$7^Sheep!$D$5:$D$23)/(Sheep!$H10*D$7^Sheep!$D10)</f>
        <v>20.454560975928956</v>
      </c>
      <c r="E14" s="18">
        <f>SUMPRODUCT(Sheep!$H$5:$H$23*E$7^Sheep!$D$5:$D$23)/(Sheep!$H10*E$7^Sheep!$D10)</f>
        <v>18.46451493066667</v>
      </c>
      <c r="F14" s="18">
        <f>SUMPRODUCT(Sheep!$H$5:$H$23*F$7^Sheep!$D$5:$D$23)/(Sheep!$H10*F$7^Sheep!$D10)</f>
        <v>17.392961730219771</v>
      </c>
      <c r="G14" s="18">
        <f>SUMPRODUCT(Sheep!$H$5:$H$23*G$7^Sheep!$D$5:$D$23)/(Sheep!$H10*G$7^Sheep!$D10)</f>
        <v>16.660805734173834</v>
      </c>
      <c r="H14" s="18">
        <f>SUMPRODUCT(Sheep!$H$5:$H$23*H$7^Sheep!$D$5:$D$23)/(Sheep!$H10*H$7^Sheep!$D10)</f>
        <v>15.766710498722851</v>
      </c>
      <c r="I14" s="18">
        <f>SUMPRODUCT(Sheep!$H$5:$H$23*I$7^Sheep!$D$5:$D$23)/(Sheep!$H10*I$7^Sheep!$D10)</f>
        <v>15.450223802158035</v>
      </c>
      <c r="J14" s="18">
        <f>SUMPRODUCT(Sheep!$H$5:$H$23*J$7^Sheep!$D$5:$D$23)/(Sheep!$H10*J$7^Sheep!$D10)</f>
        <v>15.156882890456629</v>
      </c>
      <c r="K14" s="18">
        <f>SUMPRODUCT(Sheep!$H$5:$H$23*K$7^Sheep!$D$5:$D$23)/(Sheep!$H10*K$7^Sheep!$D10)</f>
        <v>14.889065170804544</v>
      </c>
      <c r="L14" s="18">
        <f>SUMPRODUCT(Sheep!$H$5:$H$23*L$7^Sheep!$D$5:$D$23)/(Sheep!$H10*L$7^Sheep!$D10)</f>
        <v>14.647394681886885</v>
      </c>
      <c r="M14" s="18">
        <f>SUMPRODUCT(Sheep!$H$5:$H$23*M$7^Sheep!$D$5:$D$23)/(Sheep!$H10*M$7^Sheep!$D10)</f>
        <v>14.29089501896118</v>
      </c>
      <c r="N14" s="18">
        <f>SUMPRODUCT(Sheep!$H$5:$H$23*N$7^Sheep!$D$5:$D$23)/(Sheep!$H10*N$7^Sheep!$D10)</f>
        <v>14.151456025868177</v>
      </c>
      <c r="O14" s="18">
        <f>SUMPRODUCT(Sheep!$H$5:$H$23*O$7^Sheep!$D$5:$D$23)/(Sheep!$H10*O$7^Sheep!$D10)</f>
        <v>14.018485242314794</v>
      </c>
      <c r="P14" s="18">
        <f>SUMPRODUCT(Sheep!$H$5:$H$23*P$7^Sheep!$D$5:$D$23)/(Sheep!$H10*P$7^Sheep!$D10)</f>
        <v>13.895637344101557</v>
      </c>
      <c r="Q14" s="18">
        <f>SUMPRODUCT(Sheep!$H$5:$H$23*Q$7^Sheep!$D$5:$D$23)/(Sheep!$H10*Q$7^Sheep!$D10)</f>
        <v>13.785375075712526</v>
      </c>
      <c r="R14" s="18">
        <f>SUMPRODUCT(Sheep!$H$5:$H$23*R$7^Sheep!$D$5:$D$23)/(Sheep!$H10*R$7^Sheep!$D10)</f>
        <v>13.628018917910728</v>
      </c>
      <c r="S14" s="18">
        <f>SUMPRODUCT(Sheep!$H$5:$H$23*S$7^Sheep!$D$5:$D$23)/(Sheep!$H10*S$7^Sheep!$D10)</f>
        <v>13.570157907228776</v>
      </c>
      <c r="T14" s="18">
        <f>SUMPRODUCT(Sheep!$H$5:$H$23*T$7^Sheep!$D$5:$D$23)/(Sheep!$H10*T$7^Sheep!$D10)</f>
        <v>13.51833933590607</v>
      </c>
      <c r="U14" s="18">
        <f>SUMPRODUCT(Sheep!$H$5:$H$23*U$7^Sheep!$D$5:$D$23)/(Sheep!$H10*U$7^Sheep!$D10)</f>
        <v>13.474750918734403</v>
      </c>
      <c r="V14" s="18">
        <f>SUMPRODUCT(Sheep!$H$5:$H$23*V$7^Sheep!$D$5:$D$23)/(Sheep!$H10*V$7^Sheep!$D10)</f>
        <v>13.440831374666111</v>
      </c>
      <c r="W14" s="18">
        <f>SUMPRODUCT(Sheep!$H$5:$H$23*W$7^Sheep!$D$5:$D$23)/(Sheep!$H10*W$7^Sheep!$D10)</f>
        <v>13.407079081258761</v>
      </c>
      <c r="X14" s="18">
        <f>SUMPRODUCT(Sheep!$H$5:$H$23*X$7^Sheep!$D$5:$D$23)/(Sheep!$H10*X$7^Sheep!$D10)</f>
        <v>13.402354336095341</v>
      </c>
      <c r="Y14" s="18">
        <f>SUMPRODUCT(Sheep!$H$5:$H$23*Y$7^Sheep!$D$5:$D$23)/(Sheep!$H10*Y$7^Sheep!$D10)</f>
        <v>13.404731951643186</v>
      </c>
      <c r="Z14" s="18">
        <f>SUMPRODUCT(Sheep!$H$5:$H$23*Z$7^Sheep!$D$5:$D$23)/(Sheep!$H10*Z$7^Sheep!$D10)</f>
        <v>13.415277712902158</v>
      </c>
      <c r="AA14" s="18">
        <f>SUMPRODUCT(Sheep!$H$5:$H$23*AA$7^Sheep!$D$5:$D$23)/(Sheep!$H10*AA$7^Sheep!$D10)</f>
        <v>13.434606815836423</v>
      </c>
      <c r="AB14" s="18">
        <f>SUMPRODUCT(Sheep!$H$5:$H$23*AB$7^Sheep!$D$5:$D$23)/(Sheep!$H10*AB$7^Sheep!$D10)</f>
        <v>13.489279084065769</v>
      </c>
    </row>
    <row r="15" spans="1:28" x14ac:dyDescent="0.25">
      <c r="A15" s="28" t="str">
        <f>Sheep!C11</f>
        <v>Rare</v>
      </c>
      <c r="B15" s="28" t="str">
        <f>Sheep!A11</f>
        <v>Ice Sheep</v>
      </c>
      <c r="C15" s="18">
        <f>SUMPRODUCT(Sheep!$H$5:$H$23*C$7^Sheep!$D$5:$D$23)/(Sheep!$H11*C$7^Sheep!$D11)</f>
        <v>52.764499999999998</v>
      </c>
      <c r="D15" s="18">
        <f>SUMPRODUCT(Sheep!$H$5:$H$23*D$7^Sheep!$D$5:$D$23)/(Sheep!$H11*D$7^Sheep!$D11)</f>
        <v>22.500017073521853</v>
      </c>
      <c r="E15" s="18">
        <f>SUMPRODUCT(Sheep!$H$5:$H$23*E$7^Sheep!$D$5:$D$23)/(Sheep!$H11*E$7^Sheep!$D11)</f>
        <v>20.310966423733337</v>
      </c>
      <c r="F15" s="18">
        <f>SUMPRODUCT(Sheep!$H$5:$H$23*F$7^Sheep!$D$5:$D$23)/(Sheep!$H11*F$7^Sheep!$D11)</f>
        <v>19.132257903241747</v>
      </c>
      <c r="G15" s="18">
        <f>SUMPRODUCT(Sheep!$H$5:$H$23*G$7^Sheep!$D$5:$D$23)/(Sheep!$H11*G$7^Sheep!$D11)</f>
        <v>18.326886307591217</v>
      </c>
      <c r="H15" s="18">
        <f>SUMPRODUCT(Sheep!$H$5:$H$23*H$7^Sheep!$D$5:$D$23)/(Sheep!$H11*H$7^Sheep!$D11)</f>
        <v>17.343381548595136</v>
      </c>
      <c r="I15" s="18">
        <f>SUMPRODUCT(Sheep!$H$5:$H$23*I$7^Sheep!$D$5:$D$23)/(Sheep!$H11*I$7^Sheep!$D11)</f>
        <v>16.99524618237384</v>
      </c>
      <c r="J15" s="18">
        <f>SUMPRODUCT(Sheep!$H$5:$H$23*J$7^Sheep!$D$5:$D$23)/(Sheep!$H11*J$7^Sheep!$D11)</f>
        <v>16.672571179502292</v>
      </c>
      <c r="K15" s="18">
        <f>SUMPRODUCT(Sheep!$H$5:$H$23*K$7^Sheep!$D$5:$D$23)/(Sheep!$H11*K$7^Sheep!$D11)</f>
        <v>16.377971687884997</v>
      </c>
      <c r="L15" s="18">
        <f>SUMPRODUCT(Sheep!$H$5:$H$23*L$7^Sheep!$D$5:$D$23)/(Sheep!$H11*L$7^Sheep!$D11)</f>
        <v>16.112134150075573</v>
      </c>
      <c r="M15" s="18">
        <f>SUMPRODUCT(Sheep!$H$5:$H$23*M$7^Sheep!$D$5:$D$23)/(Sheep!$H11*M$7^Sheep!$D11)</f>
        <v>15.719984520857295</v>
      </c>
      <c r="N15" s="18">
        <f>SUMPRODUCT(Sheep!$H$5:$H$23*N$7^Sheep!$D$5:$D$23)/(Sheep!$H11*N$7^Sheep!$D11)</f>
        <v>15.566601628454993</v>
      </c>
      <c r="O15" s="18">
        <f>SUMPRODUCT(Sheep!$H$5:$H$23*O$7^Sheep!$D$5:$D$23)/(Sheep!$H11*O$7^Sheep!$D11)</f>
        <v>15.420333766546271</v>
      </c>
      <c r="P15" s="18">
        <f>SUMPRODUCT(Sheep!$H$5:$H$23*P$7^Sheep!$D$5:$D$23)/(Sheep!$H11*P$7^Sheep!$D11)</f>
        <v>15.285201078511713</v>
      </c>
      <c r="Q15" s="18">
        <f>SUMPRODUCT(Sheep!$H$5:$H$23*Q$7^Sheep!$D$5:$D$23)/(Sheep!$H11*Q$7^Sheep!$D11)</f>
        <v>15.163912583283777</v>
      </c>
      <c r="R15" s="18">
        <f>SUMPRODUCT(Sheep!$H$5:$H$23*R$7^Sheep!$D$5:$D$23)/(Sheep!$H11*R$7^Sheep!$D11)</f>
        <v>14.990820809701802</v>
      </c>
      <c r="S15" s="18">
        <f>SUMPRODUCT(Sheep!$H$5:$H$23*S$7^Sheep!$D$5:$D$23)/(Sheep!$H11*S$7^Sheep!$D11)</f>
        <v>14.927173697951654</v>
      </c>
      <c r="T15" s="18">
        <f>SUMPRODUCT(Sheep!$H$5:$H$23*T$7^Sheep!$D$5:$D$23)/(Sheep!$H11*T$7^Sheep!$D11)</f>
        <v>14.870173269496677</v>
      </c>
      <c r="U15" s="18">
        <f>SUMPRODUCT(Sheep!$H$5:$H$23*U$7^Sheep!$D$5:$D$23)/(Sheep!$H11*U$7^Sheep!$D11)</f>
        <v>14.822226010607844</v>
      </c>
      <c r="V15" s="18">
        <f>SUMPRODUCT(Sheep!$H$5:$H$23*V$7^Sheep!$D$5:$D$23)/(Sheep!$H11*V$7^Sheep!$D11)</f>
        <v>14.784914512132723</v>
      </c>
      <c r="W15" s="18">
        <f>SUMPRODUCT(Sheep!$H$5:$H$23*W$7^Sheep!$D$5:$D$23)/(Sheep!$H11*W$7^Sheep!$D11)</f>
        <v>14.747786989384638</v>
      </c>
      <c r="X15" s="18">
        <f>SUMPRODUCT(Sheep!$H$5:$H$23*X$7^Sheep!$D$5:$D$23)/(Sheep!$H11*X$7^Sheep!$D11)</f>
        <v>14.742589769704875</v>
      </c>
      <c r="Y15" s="18">
        <f>SUMPRODUCT(Sheep!$H$5:$H$23*Y$7^Sheep!$D$5:$D$23)/(Sheep!$H11*Y$7^Sheep!$D11)</f>
        <v>14.745205146807503</v>
      </c>
      <c r="Z15" s="18">
        <f>SUMPRODUCT(Sheep!$H$5:$H$23*Z$7^Sheep!$D$5:$D$23)/(Sheep!$H11*Z$7^Sheep!$D11)</f>
        <v>14.756805484192373</v>
      </c>
      <c r="AA15" s="18">
        <f>SUMPRODUCT(Sheep!$H$5:$H$23*AA$7^Sheep!$D$5:$D$23)/(Sheep!$H11*AA$7^Sheep!$D11)</f>
        <v>14.778067497420066</v>
      </c>
      <c r="AB15" s="18">
        <f>SUMPRODUCT(Sheep!$H$5:$H$23*AB$7^Sheep!$D$5:$D$23)/(Sheep!$H11*AB$7^Sheep!$D11)</f>
        <v>14.838206992472347</v>
      </c>
    </row>
    <row r="16" spans="1:28" x14ac:dyDescent="0.25">
      <c r="A16" s="28" t="str">
        <f>Sheep!C12</f>
        <v>Epic</v>
      </c>
      <c r="B16" s="28" t="str">
        <f>Sheep!A12</f>
        <v>Golden Sheep</v>
      </c>
      <c r="C16" s="18">
        <f>SUMPRODUCT(Sheep!$H$5:$H$23*C$7^Sheep!$D$5:$D$23)/(Sheep!$H12*C$7^Sheep!$D12)</f>
        <v>140.70533333333333</v>
      </c>
      <c r="D16" s="18">
        <f>SUMPRODUCT(Sheep!$H$5:$H$23*D$7^Sheep!$D$5:$D$23)/(Sheep!$H12*D$7^Sheep!$D12)</f>
        <v>32.366235933281331</v>
      </c>
      <c r="E16" s="18">
        <f>SUMPRODUCT(Sheep!$H$5:$H$23*E$7^Sheep!$D$5:$D$23)/(Sheep!$H12*E$7^Sheep!$D12)</f>
        <v>26.485982268128282</v>
      </c>
      <c r="F16" s="18">
        <f>SUMPRODUCT(Sheep!$H$5:$H$23*F$7^Sheep!$D$5:$D$23)/(Sheep!$H12*F$7^Sheep!$D12)</f>
        <v>23.414464052284327</v>
      </c>
      <c r="G16" s="18">
        <f>SUMPRODUCT(Sheep!$H$5:$H$23*G$7^Sheep!$D$5:$D$23)/(Sheep!$H12*G$7^Sheep!$D12)</f>
        <v>21.342360742261217</v>
      </c>
      <c r="H16" s="18">
        <f>SUMPRODUCT(Sheep!$H$5:$H$23*H$7^Sheep!$D$5:$D$23)/(Sheep!$H12*H$7^Sheep!$D12)</f>
        <v>18.820029974278565</v>
      </c>
      <c r="I16" s="18">
        <f>SUMPRODUCT(Sheep!$H$5:$H$23*I$7^Sheep!$D$5:$D$23)/(Sheep!$H12*I$7^Sheep!$D12)</f>
        <v>17.921569180415094</v>
      </c>
      <c r="J16" s="18">
        <f>SUMPRODUCT(Sheep!$H$5:$H$23*J$7^Sheep!$D$5:$D$23)/(Sheep!$H12*J$7^Sheep!$D12)</f>
        <v>17.081199786786048</v>
      </c>
      <c r="K16" s="18">
        <f>SUMPRODUCT(Sheep!$H$5:$H$23*K$7^Sheep!$D$5:$D$23)/(Sheep!$H12*K$7^Sheep!$D12)</f>
        <v>16.303350259709514</v>
      </c>
      <c r="L16" s="18">
        <f>SUMPRODUCT(Sheep!$H$5:$H$23*L$7^Sheep!$D$5:$D$23)/(Sheep!$H12*L$7^Sheep!$D12)</f>
        <v>15.587937918721233</v>
      </c>
      <c r="M16" s="18">
        <f>SUMPRODUCT(Sheep!$H$5:$H$23*M$7^Sheep!$D$5:$D$23)/(Sheep!$H12*M$7^Sheep!$D12)</f>
        <v>14.493776662960277</v>
      </c>
      <c r="N16" s="18">
        <f>SUMPRODUCT(Sheep!$H$5:$H$23*N$7^Sheep!$D$5:$D$23)/(Sheep!$H12*N$7^Sheep!$D12)</f>
        <v>14.04583034073543</v>
      </c>
      <c r="O16" s="18">
        <f>SUMPRODUCT(Sheep!$H$5:$H$23*O$7^Sheep!$D$5:$D$23)/(Sheep!$H12*O$7^Sheep!$D12)</f>
        <v>13.602352549729536</v>
      </c>
      <c r="P16" s="18">
        <f>SUMPRODUCT(Sheep!$H$5:$H$23*P$7^Sheep!$D$5:$D$23)/(Sheep!$H12*P$7^Sheep!$D12)</f>
        <v>13.172680316007598</v>
      </c>
      <c r="Q16" s="18">
        <f>SUMPRODUCT(Sheep!$H$5:$H$23*Q$7^Sheep!$D$5:$D$23)/(Sheep!$H12*Q$7^Sheep!$D12)</f>
        <v>12.763229467097675</v>
      </c>
      <c r="R16" s="18">
        <f>SUMPRODUCT(Sheep!$H$5:$H$23*R$7^Sheep!$D$5:$D$23)/(Sheep!$H12*R$7^Sheep!$D12)</f>
        <v>12.112748530085586</v>
      </c>
      <c r="S16" s="18">
        <f>SUMPRODUCT(Sheep!$H$5:$H$23*S$7^Sheep!$D$5:$D$23)/(Sheep!$H12*S$7^Sheep!$D12)</f>
        <v>11.838997250701903</v>
      </c>
      <c r="T16" s="18">
        <f>SUMPRODUCT(Sheep!$H$5:$H$23*T$7^Sheep!$D$5:$D$23)/(Sheep!$H12*T$7^Sheep!$D12)</f>
        <v>11.564130528912763</v>
      </c>
      <c r="U16" s="18">
        <f>SUMPRODUCT(Sheep!$H$5:$H$23*U$7^Sheep!$D$5:$D$23)/(Sheep!$H12*U$7^Sheep!$D12)</f>
        <v>11.294492344174676</v>
      </c>
      <c r="V16" s="18">
        <f>SUMPRODUCT(Sheep!$H$5:$H$23*V$7^Sheep!$D$5:$D$23)/(Sheep!$H12*V$7^Sheep!$D12)</f>
        <v>11.034608645099354</v>
      </c>
      <c r="W16" s="18">
        <f>SUMPRODUCT(Sheep!$H$5:$H$23*W$7^Sheep!$D$5:$D$23)/(Sheep!$H12*W$7^Sheep!$D12)</f>
        <v>10.616348433640381</v>
      </c>
      <c r="X16" s="18">
        <f>SUMPRODUCT(Sheep!$H$5:$H$23*X$7^Sheep!$D$5:$D$23)/(Sheep!$H12*X$7^Sheep!$D12)</f>
        <v>10.438469963855439</v>
      </c>
      <c r="Y16" s="18">
        <f>SUMPRODUCT(Sheep!$H$5:$H$23*Y$7^Sheep!$D$5:$D$23)/(Sheep!$H12*Y$7^Sheep!$D12)</f>
        <v>10.258824874676105</v>
      </c>
      <c r="Z16" s="18">
        <f>SUMPRODUCT(Sheep!$H$5:$H$23*Z$7^Sheep!$D$5:$D$23)/(Sheep!$H12*Z$7^Sheep!$D12)</f>
        <v>10.081632466767072</v>
      </c>
      <c r="AA16" s="18">
        <f>SUMPRODUCT(Sheep!$H$5:$H$23*AA$7^Sheep!$D$5:$D$23)/(Sheep!$H12*AA$7^Sheep!$D12)</f>
        <v>9.9100018342215801</v>
      </c>
      <c r="AB16" s="18">
        <f>SUMPRODUCT(Sheep!$H$5:$H$23*AB$7^Sheep!$D$5:$D$23)/(Sheep!$H12*AB$7^Sheep!$D12)</f>
        <v>9.6321778696975198</v>
      </c>
    </row>
    <row r="17" spans="1:28" x14ac:dyDescent="0.25">
      <c r="A17" s="28" t="str">
        <f>Sheep!C13</f>
        <v>Epic</v>
      </c>
      <c r="B17" s="28" t="str">
        <f>Sheep!A13</f>
        <v>Stone Sheep</v>
      </c>
      <c r="C17" s="18">
        <f>SUMPRODUCT(Sheep!$H$5:$H$23*C$7^Sheep!$D$5:$D$23)/(Sheep!$H13*C$7^Sheep!$D13)</f>
        <v>208.96831683168318</v>
      </c>
      <c r="D17" s="18">
        <f>SUMPRODUCT(Sheep!$H$5:$H$23*D$7^Sheep!$D$5:$D$23)/(Sheep!$H13*D$7^Sheep!$D13)</f>
        <v>48.068667227645541</v>
      </c>
      <c r="E17" s="18">
        <f>SUMPRODUCT(Sheep!$H$5:$H$23*E$7^Sheep!$D$5:$D$23)/(Sheep!$H13*E$7^Sheep!$D13)</f>
        <v>39.335617229893487</v>
      </c>
      <c r="F17" s="18">
        <f>SUMPRODUCT(Sheep!$H$5:$H$23*F$7^Sheep!$D$5:$D$23)/(Sheep!$H13*F$7^Sheep!$D13)</f>
        <v>34.773956513293555</v>
      </c>
      <c r="G17" s="18">
        <f>SUMPRODUCT(Sheep!$H$5:$H$23*G$7^Sheep!$D$5:$D$23)/(Sheep!$H13*G$7^Sheep!$D13)</f>
        <v>31.696575359793886</v>
      </c>
      <c r="H17" s="18">
        <f>SUMPRODUCT(Sheep!$H$5:$H$23*H$7^Sheep!$D$5:$D$23)/(Sheep!$H13*H$7^Sheep!$D13)</f>
        <v>27.950539565760245</v>
      </c>
      <c r="I17" s="18">
        <f>SUMPRODUCT(Sheep!$H$5:$H$23*I$7^Sheep!$D$5:$D$23)/(Sheep!$H13*I$7^Sheep!$D13)</f>
        <v>26.616191852101625</v>
      </c>
      <c r="J17" s="18">
        <f>SUMPRODUCT(Sheep!$H$5:$H$23*J$7^Sheep!$D$5:$D$23)/(Sheep!$H13*J$7^Sheep!$D13)</f>
        <v>25.368118495226803</v>
      </c>
      <c r="K17" s="18">
        <f>SUMPRODUCT(Sheep!$H$5:$H$23*K$7^Sheep!$D$5:$D$23)/(Sheep!$H13*K$7^Sheep!$D13)</f>
        <v>24.212896425311161</v>
      </c>
      <c r="L17" s="18">
        <f>SUMPRODUCT(Sheep!$H$5:$H$23*L$7^Sheep!$D$5:$D$23)/(Sheep!$H13*L$7^Sheep!$D13)</f>
        <v>23.150402849585987</v>
      </c>
      <c r="M17" s="18">
        <f>SUMPRODUCT(Sheep!$H$5:$H$23*M$7^Sheep!$D$5:$D$23)/(Sheep!$H13*M$7^Sheep!$D13)</f>
        <v>21.52541088558457</v>
      </c>
      <c r="N17" s="18">
        <f>SUMPRODUCT(Sheep!$H$5:$H$23*N$7^Sheep!$D$5:$D$23)/(Sheep!$H13*N$7^Sheep!$D13)</f>
        <v>20.860144070399155</v>
      </c>
      <c r="O17" s="18">
        <f>SUMPRODUCT(Sheep!$H$5:$H$23*O$7^Sheep!$D$5:$D$23)/(Sheep!$H13*O$7^Sheep!$D13)</f>
        <v>20.201513687717135</v>
      </c>
      <c r="P17" s="18">
        <f>SUMPRODUCT(Sheep!$H$5:$H$23*P$7^Sheep!$D$5:$D$23)/(Sheep!$H13*P$7^Sheep!$D13)</f>
        <v>19.563386607932074</v>
      </c>
      <c r="Q17" s="18">
        <f>SUMPRODUCT(Sheep!$H$5:$H$23*Q$7^Sheep!$D$5:$D$23)/(Sheep!$H13*Q$7^Sheep!$D13)</f>
        <v>18.955291287768826</v>
      </c>
      <c r="R17" s="18">
        <f>SUMPRODUCT(Sheep!$H$5:$H$23*R$7^Sheep!$D$5:$D$23)/(Sheep!$H13*R$7^Sheep!$D13)</f>
        <v>17.989230490226117</v>
      </c>
      <c r="S17" s="18">
        <f>SUMPRODUCT(Sheep!$H$5:$H$23*S$7^Sheep!$D$5:$D$23)/(Sheep!$H13*S$7^Sheep!$D13)</f>
        <v>17.582669184210747</v>
      </c>
      <c r="T17" s="18">
        <f>SUMPRODUCT(Sheep!$H$5:$H$23*T$7^Sheep!$D$5:$D$23)/(Sheep!$H13*T$7^Sheep!$D13)</f>
        <v>17.17445128056351</v>
      </c>
      <c r="U17" s="18">
        <f>SUMPRODUCT(Sheep!$H$5:$H$23*U$7^Sheep!$D$5:$D$23)/(Sheep!$H13*U$7^Sheep!$D13)</f>
        <v>16.77399853095249</v>
      </c>
      <c r="V17" s="18">
        <f>SUMPRODUCT(Sheep!$H$5:$H$23*V$7^Sheep!$D$5:$D$23)/(Sheep!$H13*V$7^Sheep!$D13)</f>
        <v>16.388032641236666</v>
      </c>
      <c r="W17" s="18">
        <f>SUMPRODUCT(Sheep!$H$5:$H$23*W$7^Sheep!$D$5:$D$23)/(Sheep!$H13*W$7^Sheep!$D13)</f>
        <v>15.766854109366902</v>
      </c>
      <c r="X17" s="18">
        <f>SUMPRODUCT(Sheep!$H$5:$H$23*X$7^Sheep!$D$5:$D$23)/(Sheep!$H13*X$7^Sheep!$D13)</f>
        <v>15.502678164141745</v>
      </c>
      <c r="Y17" s="18">
        <f>SUMPRODUCT(Sheep!$H$5:$H$23*Y$7^Sheep!$D$5:$D$23)/(Sheep!$H13*Y$7^Sheep!$D13)</f>
        <v>15.235878526746689</v>
      </c>
      <c r="Z17" s="18">
        <f>SUMPRODUCT(Sheep!$H$5:$H$23*Z$7^Sheep!$D$5:$D$23)/(Sheep!$H13*Z$7^Sheep!$D13)</f>
        <v>14.972721485297631</v>
      </c>
      <c r="AA17" s="18">
        <f>SUMPRODUCT(Sheep!$H$5:$H$23*AA$7^Sheep!$D$5:$D$23)/(Sheep!$H13*AA$7^Sheep!$D13)</f>
        <v>14.717824506269675</v>
      </c>
      <c r="AB17" s="18">
        <f>SUMPRODUCT(Sheep!$H$5:$H$23*AB$7^Sheep!$D$5:$D$23)/(Sheep!$H13*AB$7^Sheep!$D13)</f>
        <v>14.305214657966612</v>
      </c>
    </row>
    <row r="18" spans="1:28" x14ac:dyDescent="0.25">
      <c r="A18" s="28" t="str">
        <f>Sheep!C14</f>
        <v>Epic</v>
      </c>
      <c r="B18" s="28" t="str">
        <f>Sheep!A14</f>
        <v>Mummy Sheep</v>
      </c>
      <c r="C18" s="18">
        <f>SUMPRODUCT(Sheep!$H$5:$H$23*C$7^Sheep!$D$5:$D$23)/(Sheep!$H14*C$7^Sheep!$D14)</f>
        <v>211.05799999999999</v>
      </c>
      <c r="D18" s="18">
        <f>SUMPRODUCT(Sheep!$H$5:$H$23*D$7^Sheep!$D$5:$D$23)/(Sheep!$H14*D$7^Sheep!$D14)</f>
        <v>48.549353899922004</v>
      </c>
      <c r="E18" s="18">
        <f>SUMPRODUCT(Sheep!$H$5:$H$23*E$7^Sheep!$D$5:$D$23)/(Sheep!$H14*E$7^Sheep!$D14)</f>
        <v>39.728973402192423</v>
      </c>
      <c r="F18" s="18">
        <f>SUMPRODUCT(Sheep!$H$5:$H$23*F$7^Sheep!$D$5:$D$23)/(Sheep!$H14*F$7^Sheep!$D14)</f>
        <v>35.121696078426488</v>
      </c>
      <c r="G18" s="18">
        <f>SUMPRODUCT(Sheep!$H$5:$H$23*G$7^Sheep!$D$5:$D$23)/(Sheep!$H14*G$7^Sheep!$D14)</f>
        <v>32.013541113391824</v>
      </c>
      <c r="H18" s="18">
        <f>SUMPRODUCT(Sheep!$H$5:$H$23*H$7^Sheep!$D$5:$D$23)/(Sheep!$H14*H$7^Sheep!$D14)</f>
        <v>28.230044961417846</v>
      </c>
      <c r="I18" s="18">
        <f>SUMPRODUCT(Sheep!$H$5:$H$23*I$7^Sheep!$D$5:$D$23)/(Sheep!$H14*I$7^Sheep!$D14)</f>
        <v>26.88235377062264</v>
      </c>
      <c r="J18" s="18">
        <f>SUMPRODUCT(Sheep!$H$5:$H$23*J$7^Sheep!$D$5:$D$23)/(Sheep!$H14*J$7^Sheep!$D14)</f>
        <v>25.621799680179073</v>
      </c>
      <c r="K18" s="18">
        <f>SUMPRODUCT(Sheep!$H$5:$H$23*K$7^Sheep!$D$5:$D$23)/(Sheep!$H14*K$7^Sheep!$D14)</f>
        <v>24.455025389564273</v>
      </c>
      <c r="L18" s="18">
        <f>SUMPRODUCT(Sheep!$H$5:$H$23*L$7^Sheep!$D$5:$D$23)/(Sheep!$H14*L$7^Sheep!$D14)</f>
        <v>23.38190687808185</v>
      </c>
      <c r="M18" s="18">
        <f>SUMPRODUCT(Sheep!$H$5:$H$23*M$7^Sheep!$D$5:$D$23)/(Sheep!$H14*M$7^Sheep!$D14)</f>
        <v>21.740664994440415</v>
      </c>
      <c r="N18" s="18">
        <f>SUMPRODUCT(Sheep!$H$5:$H$23*N$7^Sheep!$D$5:$D$23)/(Sheep!$H14*N$7^Sheep!$D14)</f>
        <v>21.068745511103145</v>
      </c>
      <c r="O18" s="18">
        <f>SUMPRODUCT(Sheep!$H$5:$H$23*O$7^Sheep!$D$5:$D$23)/(Sheep!$H14*O$7^Sheep!$D14)</f>
        <v>20.403528824594307</v>
      </c>
      <c r="P18" s="18">
        <f>SUMPRODUCT(Sheep!$H$5:$H$23*P$7^Sheep!$D$5:$D$23)/(Sheep!$H14*P$7^Sheep!$D14)</f>
        <v>19.759020474011397</v>
      </c>
      <c r="Q18" s="18">
        <f>SUMPRODUCT(Sheep!$H$5:$H$23*Q$7^Sheep!$D$5:$D$23)/(Sheep!$H14*Q$7^Sheep!$D14)</f>
        <v>19.144844200646514</v>
      </c>
      <c r="R18" s="18">
        <f>SUMPRODUCT(Sheep!$H$5:$H$23*R$7^Sheep!$D$5:$D$23)/(Sheep!$H14*R$7^Sheep!$D14)</f>
        <v>18.169122795128381</v>
      </c>
      <c r="S18" s="18">
        <f>SUMPRODUCT(Sheep!$H$5:$H$23*S$7^Sheep!$D$5:$D$23)/(Sheep!$H14*S$7^Sheep!$D14)</f>
        <v>17.758495876052855</v>
      </c>
      <c r="T18" s="18">
        <f>SUMPRODUCT(Sheep!$H$5:$H$23*T$7^Sheep!$D$5:$D$23)/(Sheep!$H14*T$7^Sheep!$D14)</f>
        <v>17.346195793369144</v>
      </c>
      <c r="U18" s="18">
        <f>SUMPRODUCT(Sheep!$H$5:$H$23*U$7^Sheep!$D$5:$D$23)/(Sheep!$H14*U$7^Sheep!$D14)</f>
        <v>16.941738516262014</v>
      </c>
      <c r="V18" s="18">
        <f>SUMPRODUCT(Sheep!$H$5:$H$23*V$7^Sheep!$D$5:$D$23)/(Sheep!$H14*V$7^Sheep!$D14)</f>
        <v>16.551912967649031</v>
      </c>
      <c r="W18" s="18">
        <f>SUMPRODUCT(Sheep!$H$5:$H$23*W$7^Sheep!$D$5:$D$23)/(Sheep!$H14*W$7^Sheep!$D14)</f>
        <v>15.92452265046057</v>
      </c>
      <c r="X18" s="18">
        <f>SUMPRODUCT(Sheep!$H$5:$H$23*X$7^Sheep!$D$5:$D$23)/(Sheep!$H14*X$7^Sheep!$D14)</f>
        <v>15.657704945783161</v>
      </c>
      <c r="Y18" s="18">
        <f>SUMPRODUCT(Sheep!$H$5:$H$23*Y$7^Sheep!$D$5:$D$23)/(Sheep!$H14*Y$7^Sheep!$D14)</f>
        <v>15.388237312014157</v>
      </c>
      <c r="Z18" s="18">
        <f>SUMPRODUCT(Sheep!$H$5:$H$23*Z$7^Sheep!$D$5:$D$23)/(Sheep!$H14*Z$7^Sheep!$D14)</f>
        <v>15.122448700150608</v>
      </c>
      <c r="AA18" s="18">
        <f>SUMPRODUCT(Sheep!$H$5:$H$23*AA$7^Sheep!$D$5:$D$23)/(Sheep!$H14*AA$7^Sheep!$D14)</f>
        <v>14.865002751332371</v>
      </c>
      <c r="AB18" s="18">
        <f>SUMPRODUCT(Sheep!$H$5:$H$23*AB$7^Sheep!$D$5:$D$23)/(Sheep!$H14*AB$7^Sheep!$D14)</f>
        <v>14.448266804546281</v>
      </c>
    </row>
    <row r="19" spans="1:28" x14ac:dyDescent="0.25">
      <c r="A19" s="28" t="str">
        <f>Sheep!C15</f>
        <v>Epic</v>
      </c>
      <c r="B19" s="28" t="str">
        <f>Sheep!A15</f>
        <v>Luck Sheep</v>
      </c>
      <c r="C19" s="18">
        <f>SUMPRODUCT(Sheep!$H$5:$H$23*C$7^Sheep!$D$5:$D$23)/(Sheep!$H15*C$7^Sheep!$D15)</f>
        <v>502.51904761904763</v>
      </c>
      <c r="D19" s="18">
        <f>SUMPRODUCT(Sheep!$H$5:$H$23*D$7^Sheep!$D$5:$D$23)/(Sheep!$H15*D$7^Sheep!$D15)</f>
        <v>115.59369976171904</v>
      </c>
      <c r="E19" s="18">
        <f>SUMPRODUCT(Sheep!$H$5:$H$23*E$7^Sheep!$D$5:$D$23)/(Sheep!$H15*E$7^Sheep!$D15)</f>
        <v>94.592793814743857</v>
      </c>
      <c r="F19" s="18">
        <f>SUMPRODUCT(Sheep!$H$5:$H$23*F$7^Sheep!$D$5:$D$23)/(Sheep!$H15*F$7^Sheep!$D15)</f>
        <v>83.623085901015457</v>
      </c>
      <c r="G19" s="18">
        <f>SUMPRODUCT(Sheep!$H$5:$H$23*G$7^Sheep!$D$5:$D$23)/(Sheep!$H15*G$7^Sheep!$D15)</f>
        <v>76.222716936647203</v>
      </c>
      <c r="H19" s="18">
        <f>SUMPRODUCT(Sheep!$H$5:$H$23*H$7^Sheep!$D$5:$D$23)/(Sheep!$H15*H$7^Sheep!$D15)</f>
        <v>67.214392765280593</v>
      </c>
      <c r="I19" s="18">
        <f>SUMPRODUCT(Sheep!$H$5:$H$23*I$7^Sheep!$D$5:$D$23)/(Sheep!$H15*I$7^Sheep!$D15)</f>
        <v>64.005604215768187</v>
      </c>
      <c r="J19" s="18">
        <f>SUMPRODUCT(Sheep!$H$5:$H$23*J$7^Sheep!$D$5:$D$23)/(Sheep!$H15*J$7^Sheep!$D15)</f>
        <v>61.004284952807311</v>
      </c>
      <c r="K19" s="18">
        <f>SUMPRODUCT(Sheep!$H$5:$H$23*K$7^Sheep!$D$5:$D$23)/(Sheep!$H15*K$7^Sheep!$D15)</f>
        <v>58.226250927533989</v>
      </c>
      <c r="L19" s="18">
        <f>SUMPRODUCT(Sheep!$H$5:$H$23*L$7^Sheep!$D$5:$D$23)/(Sheep!$H15*L$7^Sheep!$D15)</f>
        <v>55.671206852575828</v>
      </c>
      <c r="M19" s="18">
        <f>SUMPRODUCT(Sheep!$H$5:$H$23*M$7^Sheep!$D$5:$D$23)/(Sheep!$H15*M$7^Sheep!$D15)</f>
        <v>51.763488082000983</v>
      </c>
      <c r="N19" s="18">
        <f>SUMPRODUCT(Sheep!$H$5:$H$23*N$7^Sheep!$D$5:$D$23)/(Sheep!$H15*N$7^Sheep!$D15)</f>
        <v>50.163679788340822</v>
      </c>
      <c r="O19" s="18">
        <f>SUMPRODUCT(Sheep!$H$5:$H$23*O$7^Sheep!$D$5:$D$23)/(Sheep!$H15*O$7^Sheep!$D15)</f>
        <v>48.579830534748346</v>
      </c>
      <c r="P19" s="18">
        <f>SUMPRODUCT(Sheep!$H$5:$H$23*P$7^Sheep!$D$5:$D$23)/(Sheep!$H15*P$7^Sheep!$D15)</f>
        <v>47.045286842884281</v>
      </c>
      <c r="Q19" s="18">
        <f>SUMPRODUCT(Sheep!$H$5:$H$23*Q$7^Sheep!$D$5:$D$23)/(Sheep!$H15*Q$7^Sheep!$D15)</f>
        <v>45.582962382491701</v>
      </c>
      <c r="R19" s="18">
        <f>SUMPRODUCT(Sheep!$H$5:$H$23*R$7^Sheep!$D$5:$D$23)/(Sheep!$H15*R$7^Sheep!$D15)</f>
        <v>43.259816178877088</v>
      </c>
      <c r="S19" s="18">
        <f>SUMPRODUCT(Sheep!$H$5:$H$23*S$7^Sheep!$D$5:$D$23)/(Sheep!$H15*S$7^Sheep!$D15)</f>
        <v>42.28213303822109</v>
      </c>
      <c r="T19" s="18">
        <f>SUMPRODUCT(Sheep!$H$5:$H$23*T$7^Sheep!$D$5:$D$23)/(Sheep!$H15*T$7^Sheep!$D15)</f>
        <v>41.300466174688438</v>
      </c>
      <c r="U19" s="18">
        <f>SUMPRODUCT(Sheep!$H$5:$H$23*U$7^Sheep!$D$5:$D$23)/(Sheep!$H15*U$7^Sheep!$D15)</f>
        <v>40.337472657766696</v>
      </c>
      <c r="V19" s="18">
        <f>SUMPRODUCT(Sheep!$H$5:$H$23*V$7^Sheep!$D$5:$D$23)/(Sheep!$H15*V$7^Sheep!$D15)</f>
        <v>39.409316589640547</v>
      </c>
      <c r="W19" s="18">
        <f>SUMPRODUCT(Sheep!$H$5:$H$23*W$7^Sheep!$D$5:$D$23)/(Sheep!$H15*W$7^Sheep!$D15)</f>
        <v>37.915530120144219</v>
      </c>
      <c r="X19" s="18">
        <f>SUMPRODUCT(Sheep!$H$5:$H$23*X$7^Sheep!$D$5:$D$23)/(Sheep!$H15*X$7^Sheep!$D15)</f>
        <v>37.280249870912286</v>
      </c>
      <c r="Y19" s="18">
        <f>SUMPRODUCT(Sheep!$H$5:$H$23*Y$7^Sheep!$D$5:$D$23)/(Sheep!$H15*Y$7^Sheep!$D15)</f>
        <v>36.63866026670037</v>
      </c>
      <c r="Z19" s="18">
        <f>SUMPRODUCT(Sheep!$H$5:$H$23*Z$7^Sheep!$D$5:$D$23)/(Sheep!$H15*Z$7^Sheep!$D15)</f>
        <v>36.005830238453832</v>
      </c>
      <c r="AA19" s="18">
        <f>SUMPRODUCT(Sheep!$H$5:$H$23*AA$7^Sheep!$D$5:$D$23)/(Sheep!$H15*AA$7^Sheep!$D15)</f>
        <v>35.392863693648501</v>
      </c>
      <c r="AB19" s="18">
        <f>SUMPRODUCT(Sheep!$H$5:$H$23*AB$7^Sheep!$D$5:$D$23)/(Sheep!$H15*AB$7^Sheep!$D15)</f>
        <v>34.400635248919713</v>
      </c>
    </row>
    <row r="20" spans="1:28" x14ac:dyDescent="0.25">
      <c r="A20" s="28" t="str">
        <f>Sheep!C16</f>
        <v>Epic</v>
      </c>
      <c r="B20" s="28" t="str">
        <f>Sheep!A16</f>
        <v>Emerald Sheep</v>
      </c>
      <c r="C20" s="18">
        <f>SUMPRODUCT(Sheep!$H$5:$H$23*C$7^Sheep!$D$5:$D$23)/(Sheep!$H16*C$7^Sheep!$D16)</f>
        <v>527.64499999999998</v>
      </c>
      <c r="D20" s="18">
        <f>SUMPRODUCT(Sheep!$H$5:$H$23*D$7^Sheep!$D$5:$D$23)/(Sheep!$H16*D$7^Sheep!$D16)</f>
        <v>121.37338474980501</v>
      </c>
      <c r="E20" s="18">
        <f>SUMPRODUCT(Sheep!$H$5:$H$23*E$7^Sheep!$D$5:$D$23)/(Sheep!$H16*E$7^Sheep!$D16)</f>
        <v>99.322433505481058</v>
      </c>
      <c r="F20" s="18">
        <f>SUMPRODUCT(Sheep!$H$5:$H$23*F$7^Sheep!$D$5:$D$23)/(Sheep!$H16*F$7^Sheep!$D16)</f>
        <v>87.804240196066218</v>
      </c>
      <c r="G20" s="18">
        <f>SUMPRODUCT(Sheep!$H$5:$H$23*G$7^Sheep!$D$5:$D$23)/(Sheep!$H16*G$7^Sheep!$D16)</f>
        <v>80.033852783479574</v>
      </c>
      <c r="H20" s="18">
        <f>SUMPRODUCT(Sheep!$H$5:$H$23*H$7^Sheep!$D$5:$D$23)/(Sheep!$H16*H$7^Sheep!$D16)</f>
        <v>70.575112403544622</v>
      </c>
      <c r="I20" s="18">
        <f>SUMPRODUCT(Sheep!$H$5:$H$23*I$7^Sheep!$D$5:$D$23)/(Sheep!$H16*I$7^Sheep!$D16)</f>
        <v>67.205884426556594</v>
      </c>
      <c r="J20" s="18">
        <f>SUMPRODUCT(Sheep!$H$5:$H$23*J$7^Sheep!$D$5:$D$23)/(Sheep!$H16*J$7^Sheep!$D16)</f>
        <v>64.05449920044768</v>
      </c>
      <c r="K20" s="18">
        <f>SUMPRODUCT(Sheep!$H$5:$H$23*K$7^Sheep!$D$5:$D$23)/(Sheep!$H16*K$7^Sheep!$D16)</f>
        <v>61.137563473910689</v>
      </c>
      <c r="L20" s="18">
        <f>SUMPRODUCT(Sheep!$H$5:$H$23*L$7^Sheep!$D$5:$D$23)/(Sheep!$H16*L$7^Sheep!$D16)</f>
        <v>58.454767195204617</v>
      </c>
      <c r="M20" s="18">
        <f>SUMPRODUCT(Sheep!$H$5:$H$23*M$7^Sheep!$D$5:$D$23)/(Sheep!$H16*M$7^Sheep!$D16)</f>
        <v>54.351662486101034</v>
      </c>
      <c r="N20" s="18">
        <f>SUMPRODUCT(Sheep!$H$5:$H$23*N$7^Sheep!$D$5:$D$23)/(Sheep!$H16*N$7^Sheep!$D16)</f>
        <v>52.671863777757864</v>
      </c>
      <c r="O20" s="18">
        <f>SUMPRODUCT(Sheep!$H$5:$H$23*O$7^Sheep!$D$5:$D$23)/(Sheep!$H16*O$7^Sheep!$D16)</f>
        <v>51.008822061485766</v>
      </c>
      <c r="P20" s="18">
        <f>SUMPRODUCT(Sheep!$H$5:$H$23*P$7^Sheep!$D$5:$D$23)/(Sheep!$H16*P$7^Sheep!$D16)</f>
        <v>49.39755118502849</v>
      </c>
      <c r="Q20" s="18">
        <f>SUMPRODUCT(Sheep!$H$5:$H$23*Q$7^Sheep!$D$5:$D$23)/(Sheep!$H16*Q$7^Sheep!$D16)</f>
        <v>47.862110501616286</v>
      </c>
      <c r="R20" s="18">
        <f>SUMPRODUCT(Sheep!$H$5:$H$23*R$7^Sheep!$D$5:$D$23)/(Sheep!$H16*R$7^Sheep!$D16)</f>
        <v>45.422806987820948</v>
      </c>
      <c r="S20" s="18">
        <f>SUMPRODUCT(Sheep!$H$5:$H$23*S$7^Sheep!$D$5:$D$23)/(Sheep!$H16*S$7^Sheep!$D16)</f>
        <v>44.396239690132141</v>
      </c>
      <c r="T20" s="18">
        <f>SUMPRODUCT(Sheep!$H$5:$H$23*T$7^Sheep!$D$5:$D$23)/(Sheep!$H16*T$7^Sheep!$D16)</f>
        <v>43.365489483422863</v>
      </c>
      <c r="U20" s="18">
        <f>SUMPRODUCT(Sheep!$H$5:$H$23*U$7^Sheep!$D$5:$D$23)/(Sheep!$H16*U$7^Sheep!$D16)</f>
        <v>42.35434629065503</v>
      </c>
      <c r="V20" s="18">
        <f>SUMPRODUCT(Sheep!$H$5:$H$23*V$7^Sheep!$D$5:$D$23)/(Sheep!$H16*V$7^Sheep!$D16)</f>
        <v>41.379782419122577</v>
      </c>
      <c r="W20" s="18">
        <f>SUMPRODUCT(Sheep!$H$5:$H$23*W$7^Sheep!$D$5:$D$23)/(Sheep!$H16*W$7^Sheep!$D16)</f>
        <v>39.811306626151428</v>
      </c>
      <c r="X20" s="18">
        <f>SUMPRODUCT(Sheep!$H$5:$H$23*X$7^Sheep!$D$5:$D$23)/(Sheep!$H16*X$7^Sheep!$D16)</f>
        <v>39.144262364457902</v>
      </c>
      <c r="Y20" s="18">
        <f>SUMPRODUCT(Sheep!$H$5:$H$23*Y$7^Sheep!$D$5:$D$23)/(Sheep!$H16*Y$7^Sheep!$D16)</f>
        <v>38.470593280035388</v>
      </c>
      <c r="Z20" s="18">
        <f>SUMPRODUCT(Sheep!$H$5:$H$23*Z$7^Sheep!$D$5:$D$23)/(Sheep!$H16*Z$7^Sheep!$D16)</f>
        <v>37.806121750376519</v>
      </c>
      <c r="AA20" s="18">
        <f>SUMPRODUCT(Sheep!$H$5:$H$23*AA$7^Sheep!$D$5:$D$23)/(Sheep!$H16*AA$7^Sheep!$D16)</f>
        <v>37.16250687833093</v>
      </c>
      <c r="AB20" s="18">
        <f>SUMPRODUCT(Sheep!$H$5:$H$23*AB$7^Sheep!$D$5:$D$23)/(Sheep!$H16*AB$7^Sheep!$D16)</f>
        <v>36.120667011365697</v>
      </c>
    </row>
    <row r="21" spans="1:28" x14ac:dyDescent="0.25">
      <c r="A21" s="28" t="str">
        <f>Sheep!C17</f>
        <v>Legendary</v>
      </c>
      <c r="B21" s="28" t="str">
        <f>Sheep!A17</f>
        <v>Pumpkin Sheep</v>
      </c>
      <c r="C21" s="18">
        <f>SUMPRODUCT(Sheep!$H$5:$H$23*C$7^Sheep!$D$5:$D$23)/(Sheep!$H17*C$7^Sheep!$D17)</f>
        <v>2110.58</v>
      </c>
      <c r="D21" s="18">
        <f>SUMPRODUCT(Sheep!$H$5:$H$23*D$7^Sheep!$D$5:$D$23)/(Sheep!$H17*D$7^Sheep!$D17)</f>
        <v>261.89310839164307</v>
      </c>
      <c r="E21" s="18">
        <f>SUMPRODUCT(Sheep!$H$5:$H$23*E$7^Sheep!$D$5:$D$23)/(Sheep!$H17*E$7^Sheep!$D17)</f>
        <v>194.27821584941486</v>
      </c>
      <c r="F21" s="18">
        <f>SUMPRODUCT(Sheep!$H$5:$H$23*F$7^Sheep!$D$5:$D$23)/(Sheep!$H17*F$7^Sheep!$D17)</f>
        <v>161.18504434549121</v>
      </c>
      <c r="G21" s="18">
        <f>SUMPRODUCT(Sheep!$H$5:$H$23*G$7^Sheep!$D$5:$D$23)/(Sheep!$H17*G$7^Sheep!$D17)</f>
        <v>139.80372844271923</v>
      </c>
      <c r="H21" s="18">
        <f>SUMPRODUCT(Sheep!$H$5:$H$23*H$7^Sheep!$D$5:$D$23)/(Sheep!$H17*H$7^Sheep!$D17)</f>
        <v>114.87601715540696</v>
      </c>
      <c r="I21" s="18">
        <f>SUMPRODUCT(Sheep!$H$5:$H$23*I$7^Sheep!$D$5:$D$23)/(Sheep!$H17*I$7^Sheep!$D17)</f>
        <v>106.30339456312166</v>
      </c>
      <c r="J21" s="18">
        <f>SUMPRODUCT(Sheep!$H$5:$H$23*J$7^Sheep!$D$5:$D$23)/(Sheep!$H17*J$7^Sheep!$D17)</f>
        <v>98.436619610644485</v>
      </c>
      <c r="K21" s="18">
        <f>SUMPRODUCT(Sheep!$H$5:$H$23*K$7^Sheep!$D$5:$D$23)/(Sheep!$H17*K$7^Sheep!$D17)</f>
        <v>91.28851212488928</v>
      </c>
      <c r="L21" s="18">
        <f>SUMPRODUCT(Sheep!$H$5:$H$23*L$7^Sheep!$D$5:$D$23)/(Sheep!$H17*L$7^Sheep!$D17)</f>
        <v>84.82947761031501</v>
      </c>
      <c r="M21" s="18">
        <f>SUMPRODUCT(Sheep!$H$5:$H$23*M$7^Sheep!$D$5:$D$23)/(Sheep!$H17*M$7^Sheep!$D17)</f>
        <v>75.168094754381826</v>
      </c>
      <c r="N21" s="18">
        <f>SUMPRODUCT(Sheep!$H$5:$H$23*N$7^Sheep!$D$5:$D$23)/(Sheep!$H17*N$7^Sheep!$D17)</f>
        <v>71.289168953905744</v>
      </c>
      <c r="O21" s="18">
        <f>SUMPRODUCT(Sheep!$H$5:$H$23*O$7^Sheep!$D$5:$D$23)/(Sheep!$H17*O$7^Sheep!$D17)</f>
        <v>67.492700676687647</v>
      </c>
      <c r="P21" s="18">
        <f>SUMPRODUCT(Sheep!$H$5:$H$23*P$7^Sheep!$D$5:$D$23)/(Sheep!$H17*P$7^Sheep!$D17)</f>
        <v>63.855700701455191</v>
      </c>
      <c r="Q21" s="18">
        <f>SUMPRODUCT(Sheep!$H$5:$H$23*Q$7^Sheep!$D$5:$D$23)/(Sheep!$H17*Q$7^Sheep!$D17)</f>
        <v>60.427191441190807</v>
      </c>
      <c r="R21" s="18">
        <f>SUMPRODUCT(Sheep!$H$5:$H$23*R$7^Sheep!$D$5:$D$23)/(Sheep!$H17*R$7^Sheep!$D17)</f>
        <v>55.053193440016244</v>
      </c>
      <c r="S21" s="18">
        <f>SUMPRODUCT(Sheep!$H$5:$H$23*S$7^Sheep!$D$5:$D$23)/(Sheep!$H17*S$7^Sheep!$D17)</f>
        <v>52.817127702992657</v>
      </c>
      <c r="T21" s="18">
        <f>SUMPRODUCT(Sheep!$H$5:$H$23*T$7^Sheep!$D$5:$D$23)/(Sheep!$H17*T$7^Sheep!$D17)</f>
        <v>50.586247895160199</v>
      </c>
      <c r="U21" s="18">
        <f>SUMPRODUCT(Sheep!$H$5:$H$23*U$7^Sheep!$D$5:$D$23)/(Sheep!$H17*U$7^Sheep!$D17)</f>
        <v>48.410829747836452</v>
      </c>
      <c r="V21" s="18">
        <f>SUMPRODUCT(Sheep!$H$5:$H$23*V$7^Sheep!$D$5:$D$23)/(Sheep!$H17*V$7^Sheep!$D17)</f>
        <v>46.325229453272755</v>
      </c>
      <c r="W21" s="18">
        <f>SUMPRODUCT(Sheep!$H$5:$H$23*W$7^Sheep!$D$5:$D$23)/(Sheep!$H17*W$7^Sheep!$D17)</f>
        <v>42.987877067177017</v>
      </c>
      <c r="X21" s="18">
        <f>SUMPRODUCT(Sheep!$H$5:$H$23*X$7^Sheep!$D$5:$D$23)/(Sheep!$H17*X$7^Sheep!$D17)</f>
        <v>41.574059917376083</v>
      </c>
      <c r="Y21" s="18">
        <f>SUMPRODUCT(Sheep!$H$5:$H$23*Y$7^Sheep!$D$5:$D$23)/(Sheep!$H17*Y$7^Sheep!$D17)</f>
        <v>40.148279595508711</v>
      </c>
      <c r="Z21" s="18">
        <f>SUMPRODUCT(Sheep!$H$5:$H$23*Z$7^Sheep!$D$5:$D$23)/(Sheep!$H17*Z$7^Sheep!$D17)</f>
        <v>38.742879502894453</v>
      </c>
      <c r="AA21" s="18">
        <f>SUMPRODUCT(Sheep!$H$5:$H$23*AA$7^Sheep!$D$5:$D$23)/(Sheep!$H17*AA$7^Sheep!$D17)</f>
        <v>37.381123552808127</v>
      </c>
      <c r="AB21" s="18">
        <f>SUMPRODUCT(Sheep!$H$5:$H$23*AB$7^Sheep!$D$5:$D$23)/(Sheep!$H17*AB$7^Sheep!$D17)</f>
        <v>35.171435093414139</v>
      </c>
    </row>
    <row r="22" spans="1:28" x14ac:dyDescent="0.25">
      <c r="A22" s="28" t="str">
        <f>Sheep!C18</f>
        <v>Legendary</v>
      </c>
      <c r="B22" s="28" t="str">
        <f>Sheep!A18</f>
        <v>Spotted Sheep</v>
      </c>
      <c r="C22" s="18">
        <f>SUMPRODUCT(Sheep!$H$5:$H$23*C$7^Sheep!$D$5:$D$23)/(Sheep!$H18*C$7^Sheep!$D18)</f>
        <v>2638.2249999999999</v>
      </c>
      <c r="D22" s="18">
        <f>SUMPRODUCT(Sheep!$H$5:$H$23*D$7^Sheep!$D$5:$D$23)/(Sheep!$H18*D$7^Sheep!$D18)</f>
        <v>327.36638548955386</v>
      </c>
      <c r="E22" s="18">
        <f>SUMPRODUCT(Sheep!$H$5:$H$23*E$7^Sheep!$D$5:$D$23)/(Sheep!$H18*E$7^Sheep!$D18)</f>
        <v>242.84776981176859</v>
      </c>
      <c r="F22" s="18">
        <f>SUMPRODUCT(Sheep!$H$5:$H$23*F$7^Sheep!$D$5:$D$23)/(Sheep!$H18*F$7^Sheep!$D18)</f>
        <v>201.48130543186403</v>
      </c>
      <c r="G22" s="18">
        <f>SUMPRODUCT(Sheep!$H$5:$H$23*G$7^Sheep!$D$5:$D$23)/(Sheep!$H18*G$7^Sheep!$D18)</f>
        <v>174.75466055339905</v>
      </c>
      <c r="H22" s="18">
        <f>SUMPRODUCT(Sheep!$H$5:$H$23*H$7^Sheep!$D$5:$D$23)/(Sheep!$H18*H$7^Sheep!$D18)</f>
        <v>143.59502144425869</v>
      </c>
      <c r="I22" s="18">
        <f>SUMPRODUCT(Sheep!$H$5:$H$23*I$7^Sheep!$D$5:$D$23)/(Sheep!$H18*I$7^Sheep!$D18)</f>
        <v>132.87924320390206</v>
      </c>
      <c r="J22" s="18">
        <f>SUMPRODUCT(Sheep!$H$5:$H$23*J$7^Sheep!$D$5:$D$23)/(Sheep!$H18*J$7^Sheep!$D18)</f>
        <v>123.04577451330562</v>
      </c>
      <c r="K22" s="18">
        <f>SUMPRODUCT(Sheep!$H$5:$H$23*K$7^Sheep!$D$5:$D$23)/(Sheep!$H18*K$7^Sheep!$D18)</f>
        <v>114.11064015611161</v>
      </c>
      <c r="L22" s="18">
        <f>SUMPRODUCT(Sheep!$H$5:$H$23*L$7^Sheep!$D$5:$D$23)/(Sheep!$H18*L$7^Sheep!$D18)</f>
        <v>106.03684701289376</v>
      </c>
      <c r="M22" s="18">
        <f>SUMPRODUCT(Sheep!$H$5:$H$23*M$7^Sheep!$D$5:$D$23)/(Sheep!$H18*M$7^Sheep!$D18)</f>
        <v>93.960118442977304</v>
      </c>
      <c r="N22" s="18">
        <f>SUMPRODUCT(Sheep!$H$5:$H$23*N$7^Sheep!$D$5:$D$23)/(Sheep!$H18*N$7^Sheep!$D18)</f>
        <v>89.11146119238218</v>
      </c>
      <c r="O22" s="18">
        <f>SUMPRODUCT(Sheep!$H$5:$H$23*O$7^Sheep!$D$5:$D$23)/(Sheep!$H18*O$7^Sheep!$D18)</f>
        <v>84.365875845859563</v>
      </c>
      <c r="P22" s="18">
        <f>SUMPRODUCT(Sheep!$H$5:$H$23*P$7^Sheep!$D$5:$D$23)/(Sheep!$H18*P$7^Sheep!$D18)</f>
        <v>79.819625876818989</v>
      </c>
      <c r="Q22" s="18">
        <f>SUMPRODUCT(Sheep!$H$5:$H$23*Q$7^Sheep!$D$5:$D$23)/(Sheep!$H18*Q$7^Sheep!$D18)</f>
        <v>75.533989301488504</v>
      </c>
      <c r="R22" s="18">
        <f>SUMPRODUCT(Sheep!$H$5:$H$23*R$7^Sheep!$D$5:$D$23)/(Sheep!$H18*R$7^Sheep!$D18)</f>
        <v>68.816491800020302</v>
      </c>
      <c r="S22" s="18">
        <f>SUMPRODUCT(Sheep!$H$5:$H$23*S$7^Sheep!$D$5:$D$23)/(Sheep!$H18*S$7^Sheep!$D18)</f>
        <v>66.021409628740813</v>
      </c>
      <c r="T22" s="18">
        <f>SUMPRODUCT(Sheep!$H$5:$H$23*T$7^Sheep!$D$5:$D$23)/(Sheep!$H18*T$7^Sheep!$D18)</f>
        <v>63.232809868950248</v>
      </c>
      <c r="U22" s="18">
        <f>SUMPRODUCT(Sheep!$H$5:$H$23*U$7^Sheep!$D$5:$D$23)/(Sheep!$H18*U$7^Sheep!$D18)</f>
        <v>60.513537184795567</v>
      </c>
      <c r="V22" s="18">
        <f>SUMPRODUCT(Sheep!$H$5:$H$23*V$7^Sheep!$D$5:$D$23)/(Sheep!$H18*V$7^Sheep!$D18)</f>
        <v>57.906536816590943</v>
      </c>
      <c r="W22" s="18">
        <f>SUMPRODUCT(Sheep!$H$5:$H$23*W$7^Sheep!$D$5:$D$23)/(Sheep!$H18*W$7^Sheep!$D18)</f>
        <v>53.734846333971269</v>
      </c>
      <c r="X22" s="18">
        <f>SUMPRODUCT(Sheep!$H$5:$H$23*X$7^Sheep!$D$5:$D$23)/(Sheep!$H18*X$7^Sheep!$D18)</f>
        <v>51.967574896720109</v>
      </c>
      <c r="Y22" s="18">
        <f>SUMPRODUCT(Sheep!$H$5:$H$23*Y$7^Sheep!$D$5:$D$23)/(Sheep!$H18*Y$7^Sheep!$D18)</f>
        <v>50.185349494385882</v>
      </c>
      <c r="Z22" s="18">
        <f>SUMPRODUCT(Sheep!$H$5:$H$23*Z$7^Sheep!$D$5:$D$23)/(Sheep!$H18*Z$7^Sheep!$D18)</f>
        <v>48.42859937861806</v>
      </c>
      <c r="AA22" s="18">
        <f>SUMPRODUCT(Sheep!$H$5:$H$23*AA$7^Sheep!$D$5:$D$23)/(Sheep!$H18*AA$7^Sheep!$D18)</f>
        <v>46.72640444101016</v>
      </c>
      <c r="AB22" s="18">
        <f>SUMPRODUCT(Sheep!$H$5:$H$23*AB$7^Sheep!$D$5:$D$23)/(Sheep!$H18*AB$7^Sheep!$D18)</f>
        <v>43.964293866767676</v>
      </c>
    </row>
    <row r="23" spans="1:28" x14ac:dyDescent="0.25">
      <c r="A23" s="28" t="str">
        <f>Sheep!C19</f>
        <v>Legendary</v>
      </c>
      <c r="B23" s="28" t="str">
        <f>Sheep!A19</f>
        <v>Ruby Sheep</v>
      </c>
      <c r="C23" s="18">
        <f>SUMPRODUCT(Sheep!$H$5:$H$23*C$7^Sheep!$D$5:$D$23)/(Sheep!$H19*C$7^Sheep!$D19)</f>
        <v>3517.6333333333332</v>
      </c>
      <c r="D23" s="18">
        <f>SUMPRODUCT(Sheep!$H$5:$H$23*D$7^Sheep!$D$5:$D$23)/(Sheep!$H19*D$7^Sheep!$D19)</f>
        <v>436.48851398607178</v>
      </c>
      <c r="E23" s="18">
        <f>SUMPRODUCT(Sheep!$H$5:$H$23*E$7^Sheep!$D$5:$D$23)/(Sheep!$H19*E$7^Sheep!$D19)</f>
        <v>323.79702641569145</v>
      </c>
      <c r="F23" s="18">
        <f>SUMPRODUCT(Sheep!$H$5:$H$23*F$7^Sheep!$D$5:$D$23)/(Sheep!$H19*F$7^Sheep!$D19)</f>
        <v>268.64174057581869</v>
      </c>
      <c r="G23" s="18">
        <f>SUMPRODUCT(Sheep!$H$5:$H$23*G$7^Sheep!$D$5:$D$23)/(Sheep!$H19*G$7^Sheep!$D19)</f>
        <v>233.00621407119871</v>
      </c>
      <c r="H23" s="18">
        <f>SUMPRODUCT(Sheep!$H$5:$H$23*H$7^Sheep!$D$5:$D$23)/(Sheep!$H19*H$7^Sheep!$D19)</f>
        <v>191.46002859234491</v>
      </c>
      <c r="I23" s="18">
        <f>SUMPRODUCT(Sheep!$H$5:$H$23*I$7^Sheep!$D$5:$D$23)/(Sheep!$H19*I$7^Sheep!$D19)</f>
        <v>177.1723242718694</v>
      </c>
      <c r="J23" s="18">
        <f>SUMPRODUCT(Sheep!$H$5:$H$23*J$7^Sheep!$D$5:$D$23)/(Sheep!$H19*J$7^Sheep!$D19)</f>
        <v>164.06103268440748</v>
      </c>
      <c r="K23" s="18">
        <f>SUMPRODUCT(Sheep!$H$5:$H$23*K$7^Sheep!$D$5:$D$23)/(Sheep!$H19*K$7^Sheep!$D19)</f>
        <v>152.14752020814882</v>
      </c>
      <c r="L23" s="18">
        <f>SUMPRODUCT(Sheep!$H$5:$H$23*L$7^Sheep!$D$5:$D$23)/(Sheep!$H19*L$7^Sheep!$D19)</f>
        <v>141.38246268385836</v>
      </c>
      <c r="M23" s="18">
        <f>SUMPRODUCT(Sheep!$H$5:$H$23*M$7^Sheep!$D$5:$D$23)/(Sheep!$H19*M$7^Sheep!$D19)</f>
        <v>125.28015792396972</v>
      </c>
      <c r="N23" s="18">
        <f>SUMPRODUCT(Sheep!$H$5:$H$23*N$7^Sheep!$D$5:$D$23)/(Sheep!$H19*N$7^Sheep!$D19)</f>
        <v>118.81528158984291</v>
      </c>
      <c r="O23" s="18">
        <f>SUMPRODUCT(Sheep!$H$5:$H$23*O$7^Sheep!$D$5:$D$23)/(Sheep!$H19*O$7^Sheep!$D19)</f>
        <v>112.48783446114608</v>
      </c>
      <c r="P23" s="18">
        <f>SUMPRODUCT(Sheep!$H$5:$H$23*P$7^Sheep!$D$5:$D$23)/(Sheep!$H19*P$7^Sheep!$D19)</f>
        <v>106.42616783575866</v>
      </c>
      <c r="Q23" s="18">
        <f>SUMPRODUCT(Sheep!$H$5:$H$23*Q$7^Sheep!$D$5:$D$23)/(Sheep!$H19*Q$7^Sheep!$D19)</f>
        <v>100.71198573531801</v>
      </c>
      <c r="R23" s="18">
        <f>SUMPRODUCT(Sheep!$H$5:$H$23*R$7^Sheep!$D$5:$D$23)/(Sheep!$H19*R$7^Sheep!$D19)</f>
        <v>91.755322400027069</v>
      </c>
      <c r="S23" s="18">
        <f>SUMPRODUCT(Sheep!$H$5:$H$23*S$7^Sheep!$D$5:$D$23)/(Sheep!$H19*S$7^Sheep!$D19)</f>
        <v>88.028546171654426</v>
      </c>
      <c r="T23" s="18">
        <f>SUMPRODUCT(Sheep!$H$5:$H$23*T$7^Sheep!$D$5:$D$23)/(Sheep!$H19*T$7^Sheep!$D19)</f>
        <v>84.310413158600326</v>
      </c>
      <c r="U23" s="18">
        <f>SUMPRODUCT(Sheep!$H$5:$H$23*U$7^Sheep!$D$5:$D$23)/(Sheep!$H19*U$7^Sheep!$D19)</f>
        <v>80.684716246394089</v>
      </c>
      <c r="V23" s="18">
        <f>SUMPRODUCT(Sheep!$H$5:$H$23*V$7^Sheep!$D$5:$D$23)/(Sheep!$H19*V$7^Sheep!$D19)</f>
        <v>77.208715755454591</v>
      </c>
      <c r="W23" s="18">
        <f>SUMPRODUCT(Sheep!$H$5:$H$23*W$7^Sheep!$D$5:$D$23)/(Sheep!$H19*W$7^Sheep!$D19)</f>
        <v>71.646461778628364</v>
      </c>
      <c r="X23" s="18">
        <f>SUMPRODUCT(Sheep!$H$5:$H$23*X$7^Sheep!$D$5:$D$23)/(Sheep!$H19*X$7^Sheep!$D19)</f>
        <v>69.290099862293474</v>
      </c>
      <c r="Y23" s="18">
        <f>SUMPRODUCT(Sheep!$H$5:$H$23*Y$7^Sheep!$D$5:$D$23)/(Sheep!$H19*Y$7^Sheep!$D19)</f>
        <v>66.913799325847847</v>
      </c>
      <c r="Z23" s="18">
        <f>SUMPRODUCT(Sheep!$H$5:$H$23*Z$7^Sheep!$D$5:$D$23)/(Sheep!$H19*Z$7^Sheep!$D19)</f>
        <v>64.571465838157422</v>
      </c>
      <c r="AA23" s="18">
        <f>SUMPRODUCT(Sheep!$H$5:$H$23*AA$7^Sheep!$D$5:$D$23)/(Sheep!$H19*AA$7^Sheep!$D19)</f>
        <v>62.301872588013538</v>
      </c>
      <c r="AB23" s="18">
        <f>SUMPRODUCT(Sheep!$H$5:$H$23*AB$7^Sheep!$D$5:$D$23)/(Sheep!$H19*AB$7^Sheep!$D19)</f>
        <v>58.619058489023566</v>
      </c>
    </row>
    <row r="24" spans="1:28" x14ac:dyDescent="0.25">
      <c r="A24" s="28" t="str">
        <f>Sheep!C20</f>
        <v>Legendary</v>
      </c>
      <c r="B24" s="28" t="str">
        <f>Sheep!A20</f>
        <v>Vampire Sheep</v>
      </c>
      <c r="C24" s="18">
        <f>SUMPRODUCT(Sheep!$H$5:$H$23*C$7^Sheep!$D$5:$D$23)/(Sheep!$H20*C$7^Sheep!$D20)</f>
        <v>5276.45</v>
      </c>
      <c r="D24" s="18">
        <f>SUMPRODUCT(Sheep!$H$5:$H$23*D$7^Sheep!$D$5:$D$23)/(Sheep!$H20*D$7^Sheep!$D20)</f>
        <v>654.73277097910773</v>
      </c>
      <c r="E24" s="18">
        <f>SUMPRODUCT(Sheep!$H$5:$H$23*E$7^Sheep!$D$5:$D$23)/(Sheep!$H20*E$7^Sheep!$D20)</f>
        <v>485.69553962353717</v>
      </c>
      <c r="F24" s="18">
        <f>SUMPRODUCT(Sheep!$H$5:$H$23*F$7^Sheep!$D$5:$D$23)/(Sheep!$H20*F$7^Sheep!$D20)</f>
        <v>402.96261086372806</v>
      </c>
      <c r="G24" s="18">
        <f>SUMPRODUCT(Sheep!$H$5:$H$23*G$7^Sheep!$D$5:$D$23)/(Sheep!$H20*G$7^Sheep!$D20)</f>
        <v>349.5093211067981</v>
      </c>
      <c r="H24" s="18">
        <f>SUMPRODUCT(Sheep!$H$5:$H$23*H$7^Sheep!$D$5:$D$23)/(Sheep!$H20*H$7^Sheep!$D20)</f>
        <v>287.19004288851738</v>
      </c>
      <c r="I24" s="18">
        <f>SUMPRODUCT(Sheep!$H$5:$H$23*I$7^Sheep!$D$5:$D$23)/(Sheep!$H20*I$7^Sheep!$D20)</f>
        <v>265.75848640780413</v>
      </c>
      <c r="J24" s="18">
        <f>SUMPRODUCT(Sheep!$H$5:$H$23*J$7^Sheep!$D$5:$D$23)/(Sheep!$H20*J$7^Sheep!$D20)</f>
        <v>246.09154902661123</v>
      </c>
      <c r="K24" s="18">
        <f>SUMPRODUCT(Sheep!$H$5:$H$23*K$7^Sheep!$D$5:$D$23)/(Sheep!$H20*K$7^Sheep!$D20)</f>
        <v>228.22128031222323</v>
      </c>
      <c r="L24" s="18">
        <f>SUMPRODUCT(Sheep!$H$5:$H$23*L$7^Sheep!$D$5:$D$23)/(Sheep!$H20*L$7^Sheep!$D20)</f>
        <v>212.07369402578752</v>
      </c>
      <c r="M24" s="18">
        <f>SUMPRODUCT(Sheep!$H$5:$H$23*M$7^Sheep!$D$5:$D$23)/(Sheep!$H20*M$7^Sheep!$D20)</f>
        <v>187.92023688595461</v>
      </c>
      <c r="N24" s="18">
        <f>SUMPRODUCT(Sheep!$H$5:$H$23*N$7^Sheep!$D$5:$D$23)/(Sheep!$H20*N$7^Sheep!$D20)</f>
        <v>178.22292238476436</v>
      </c>
      <c r="O24" s="18">
        <f>SUMPRODUCT(Sheep!$H$5:$H$23*O$7^Sheep!$D$5:$D$23)/(Sheep!$H20*O$7^Sheep!$D20)</f>
        <v>168.73175169171913</v>
      </c>
      <c r="P24" s="18">
        <f>SUMPRODUCT(Sheep!$H$5:$H$23*P$7^Sheep!$D$5:$D$23)/(Sheep!$H20*P$7^Sheep!$D20)</f>
        <v>159.63925175363798</v>
      </c>
      <c r="Q24" s="18">
        <f>SUMPRODUCT(Sheep!$H$5:$H$23*Q$7^Sheep!$D$5:$D$23)/(Sheep!$H20*Q$7^Sheep!$D20)</f>
        <v>151.06797860297701</v>
      </c>
      <c r="R24" s="18">
        <f>SUMPRODUCT(Sheep!$H$5:$H$23*R$7^Sheep!$D$5:$D$23)/(Sheep!$H20*R$7^Sheep!$D20)</f>
        <v>137.6329836000406</v>
      </c>
      <c r="S24" s="18">
        <f>SUMPRODUCT(Sheep!$H$5:$H$23*S$7^Sheep!$D$5:$D$23)/(Sheep!$H20*S$7^Sheep!$D20)</f>
        <v>132.04281925748163</v>
      </c>
      <c r="T24" s="18">
        <f>SUMPRODUCT(Sheep!$H$5:$H$23*T$7^Sheep!$D$5:$D$23)/(Sheep!$H20*T$7^Sheep!$D20)</f>
        <v>126.4656197379005</v>
      </c>
      <c r="U24" s="18">
        <f>SUMPRODUCT(Sheep!$H$5:$H$23*U$7^Sheep!$D$5:$D$23)/(Sheep!$H20*U$7^Sheep!$D20)</f>
        <v>121.02707436959113</v>
      </c>
      <c r="V24" s="18">
        <f>SUMPRODUCT(Sheep!$H$5:$H$23*V$7^Sheep!$D$5:$D$23)/(Sheep!$H20*V$7^Sheep!$D20)</f>
        <v>115.81307363318189</v>
      </c>
      <c r="W24" s="18">
        <f>SUMPRODUCT(Sheep!$H$5:$H$23*W$7^Sheep!$D$5:$D$23)/(Sheep!$H20*W$7^Sheep!$D20)</f>
        <v>107.46969266794254</v>
      </c>
      <c r="X24" s="18">
        <f>SUMPRODUCT(Sheep!$H$5:$H$23*X$7^Sheep!$D$5:$D$23)/(Sheep!$H20*X$7^Sheep!$D20)</f>
        <v>103.93514979344022</v>
      </c>
      <c r="Y24" s="18">
        <f>SUMPRODUCT(Sheep!$H$5:$H$23*Y$7^Sheep!$D$5:$D$23)/(Sheep!$H20*Y$7^Sheep!$D20)</f>
        <v>100.37069898877176</v>
      </c>
      <c r="Z24" s="18">
        <f>SUMPRODUCT(Sheep!$H$5:$H$23*Z$7^Sheep!$D$5:$D$23)/(Sheep!$H20*Z$7^Sheep!$D20)</f>
        <v>96.857198757236119</v>
      </c>
      <c r="AA24" s="18">
        <f>SUMPRODUCT(Sheep!$H$5:$H$23*AA$7^Sheep!$D$5:$D$23)/(Sheep!$H20*AA$7^Sheep!$D20)</f>
        <v>93.452808882020321</v>
      </c>
      <c r="AB24" s="18">
        <f>SUMPRODUCT(Sheep!$H$5:$H$23*AB$7^Sheep!$D$5:$D$23)/(Sheep!$H20*AB$7^Sheep!$D20)</f>
        <v>87.928587733535352</v>
      </c>
    </row>
    <row r="25" spans="1:28" x14ac:dyDescent="0.25">
      <c r="A25" s="28" t="str">
        <f>Sheep!C21</f>
        <v>Mythic</v>
      </c>
      <c r="B25" s="28" t="str">
        <f>Sheep!A21</f>
        <v>Diamond Sheep</v>
      </c>
      <c r="C25" s="18">
        <f>SUMPRODUCT(Sheep!$H$5:$H$23*C$7^Sheep!$D$5:$D$23)/(Sheep!$H21*C$7^Sheep!$D21)</f>
        <v>10552.9</v>
      </c>
      <c r="D25" s="18">
        <f>SUMPRODUCT(Sheep!$H$5:$H$23*D$7^Sheep!$D$5:$D$23)/(Sheep!$H21*D$7^Sheep!$D21)</f>
        <v>706.37397527907274</v>
      </c>
      <c r="E25" s="18">
        <f>SUMPRODUCT(Sheep!$H$5:$H$23*E$7^Sheep!$D$5:$D$23)/(Sheep!$H21*E$7^Sheep!$D21)</f>
        <v>475.01888321570561</v>
      </c>
      <c r="F25" s="18">
        <f>SUMPRODUCT(Sheep!$H$5:$H$23*F$7^Sheep!$D$5:$D$23)/(Sheep!$H21*F$7^Sheep!$D21)</f>
        <v>369.8656588600312</v>
      </c>
      <c r="G25" s="18">
        <f>SUMPRODUCT(Sheep!$H$5:$H$23*G$7^Sheep!$D$5:$D$23)/(Sheep!$H21*G$7^Sheep!$D21)</f>
        <v>305.26273893376839</v>
      </c>
      <c r="H25" s="18">
        <f>SUMPRODUCT(Sheep!$H$5:$H$23*H$7^Sheep!$D$5:$D$23)/(Sheep!$H21*H$7^Sheep!$D21)</f>
        <v>233.73146120604972</v>
      </c>
      <c r="I25" s="18">
        <f>SUMPRODUCT(Sheep!$H$5:$H$23*I$7^Sheep!$D$5:$D$23)/(Sheep!$H21*I$7^Sheep!$D21)</f>
        <v>210.18270557825832</v>
      </c>
      <c r="J25" s="18">
        <f>SUMPRODUCT(Sheep!$H$5:$H$23*J$7^Sheep!$D$5:$D$23)/(Sheep!$H21*J$7^Sheep!$D21)</f>
        <v>189.09226130330504</v>
      </c>
      <c r="K25" s="18">
        <f>SUMPRODUCT(Sheep!$H$5:$H$23*K$7^Sheep!$D$5:$D$23)/(Sheep!$H21*K$7^Sheep!$D21)</f>
        <v>170.38609269921804</v>
      </c>
      <c r="L25" s="18">
        <f>SUMPRODUCT(Sheep!$H$5:$H$23*L$7^Sheep!$D$5:$D$23)/(Sheep!$H21*L$7^Sheep!$D21)</f>
        <v>153.88052627958439</v>
      </c>
      <c r="M25" s="18">
        <f>SUMPRODUCT(Sheep!$H$5:$H$23*M$7^Sheep!$D$5:$D$23)/(Sheep!$H21*M$7^Sheep!$D21)</f>
        <v>129.94640390366678</v>
      </c>
      <c r="N25" s="18">
        <f>SUMPRODUCT(Sheep!$H$5:$H$23*N$7^Sheep!$D$5:$D$23)/(Sheep!$H21*N$7^Sheep!$D21)</f>
        <v>120.60864296500823</v>
      </c>
      <c r="O25" s="18">
        <f>SUMPRODUCT(Sheep!$H$5:$H$23*O$7^Sheep!$D$5:$D$23)/(Sheep!$H21*O$7^Sheep!$D21)</f>
        <v>111.62933343035398</v>
      </c>
      <c r="P25" s="18">
        <f>SUMPRODUCT(Sheep!$H$5:$H$23*P$7^Sheep!$D$5:$D$23)/(Sheep!$H21*P$7^Sheep!$D21)</f>
        <v>103.18200027771967</v>
      </c>
      <c r="Q25" s="18">
        <f>SUMPRODUCT(Sheep!$H$5:$H$23*Q$7^Sheep!$D$5:$D$23)/(Sheep!$H21*Q$7^Sheep!$D21)</f>
        <v>95.363676695447225</v>
      </c>
      <c r="R25" s="18">
        <f>SUMPRODUCT(Sheep!$H$5:$H$23*R$7^Sheep!$D$5:$D$23)/(Sheep!$H21*R$7^Sheep!$D21)</f>
        <v>83.406726403888356</v>
      </c>
      <c r="S25" s="18">
        <f>SUMPRODUCT(Sheep!$H$5:$H$23*S$7^Sheep!$D$5:$D$23)/(Sheep!$H21*S$7^Sheep!$D21)</f>
        <v>78.544066971236191</v>
      </c>
      <c r="T25" s="18">
        <f>SUMPRODUCT(Sheep!$H$5:$H$23*T$7^Sheep!$D$5:$D$23)/(Sheep!$H21*T$7^Sheep!$D21)</f>
        <v>73.761662401182079</v>
      </c>
      <c r="U25" s="18">
        <f>SUMPRODUCT(Sheep!$H$5:$H$23*U$7^Sheep!$D$5:$D$23)/(Sheep!$H21*U$7^Sheep!$D21)</f>
        <v>69.166704309136492</v>
      </c>
      <c r="V25" s="18">
        <f>SUMPRODUCT(Sheep!$H$5:$H$23*V$7^Sheep!$D$5:$D$23)/(Sheep!$H21*V$7^Sheep!$D21)</f>
        <v>64.827155872943848</v>
      </c>
      <c r="W25" s="18">
        <f>SUMPRODUCT(Sheep!$H$5:$H$23*W$7^Sheep!$D$5:$D$23)/(Sheep!$H21*W$7^Sheep!$D21)</f>
        <v>58.022385201269344</v>
      </c>
      <c r="X25" s="18">
        <f>SUMPRODUCT(Sheep!$H$5:$H$23*X$7^Sheep!$D$5:$D$23)/(Sheep!$H21*X$7^Sheep!$D21)</f>
        <v>55.193352537884543</v>
      </c>
      <c r="Y25" s="18">
        <f>SUMPRODUCT(Sheep!$H$5:$H$23*Y$7^Sheep!$D$5:$D$23)/(Sheep!$H21*Y$7^Sheep!$D21)</f>
        <v>52.373911377773076</v>
      </c>
      <c r="Z25" s="18">
        <f>SUMPRODUCT(Sheep!$H$5:$H$23*Z$7^Sheep!$D$5:$D$23)/(Sheep!$H21*Z$7^Sheep!$D21)</f>
        <v>49.628560226521053</v>
      </c>
      <c r="AA25" s="18">
        <f>SUMPRODUCT(Sheep!$H$5:$H$23*AA$7^Sheep!$D$5:$D$23)/(Sheep!$H21*AA$7^Sheep!$D21)</f>
        <v>47.001282860343231</v>
      </c>
      <c r="AB25" s="18">
        <f>SUMPRODUCT(Sheep!$H$5:$H$23*AB$7^Sheep!$D$5:$D$23)/(Sheep!$H21*AB$7^Sheep!$D21)</f>
        <v>42.808935606760826</v>
      </c>
    </row>
    <row r="26" spans="1:28" x14ac:dyDescent="0.25">
      <c r="A26" s="28" t="str">
        <f>Sheep!C22</f>
        <v>Mythic</v>
      </c>
      <c r="B26" s="28" t="str">
        <f>Sheep!A22</f>
        <v>Rainbow Sheep</v>
      </c>
      <c r="C26" s="18">
        <f>SUMPRODUCT(Sheep!$H$5:$H$23*C$7^Sheep!$D$5:$D$23)/(Sheep!$H22*C$7^Sheep!$D22)</f>
        <v>13191.125</v>
      </c>
      <c r="D26" s="18">
        <f>SUMPRODUCT(Sheep!$H$5:$H$23*D$7^Sheep!$D$5:$D$23)/(Sheep!$H22*D$7^Sheep!$D22)</f>
        <v>882.96746909884075</v>
      </c>
      <c r="E26" s="18">
        <f>SUMPRODUCT(Sheep!$H$5:$H$23*E$7^Sheep!$D$5:$D$23)/(Sheep!$H22*E$7^Sheep!$D22)</f>
        <v>593.77360401963199</v>
      </c>
      <c r="F26" s="18">
        <f>SUMPRODUCT(Sheep!$H$5:$H$23*F$7^Sheep!$D$5:$D$23)/(Sheep!$H22*F$7^Sheep!$D22)</f>
        <v>462.33207357503903</v>
      </c>
      <c r="G26" s="18">
        <f>SUMPRODUCT(Sheep!$H$5:$H$23*G$7^Sheep!$D$5:$D$23)/(Sheep!$H22*G$7^Sheep!$D22)</f>
        <v>381.57842366721047</v>
      </c>
      <c r="H26" s="18">
        <f>SUMPRODUCT(Sheep!$H$5:$H$23*H$7^Sheep!$D$5:$D$23)/(Sheep!$H22*H$7^Sheep!$D22)</f>
        <v>292.16432650756218</v>
      </c>
      <c r="I26" s="18">
        <f>SUMPRODUCT(Sheep!$H$5:$H$23*I$7^Sheep!$D$5:$D$23)/(Sheep!$H22*I$7^Sheep!$D22)</f>
        <v>262.72838197282289</v>
      </c>
      <c r="J26" s="18">
        <f>SUMPRODUCT(Sheep!$H$5:$H$23*J$7^Sheep!$D$5:$D$23)/(Sheep!$H22*J$7^Sheep!$D22)</f>
        <v>236.36532662913132</v>
      </c>
      <c r="K26" s="18">
        <f>SUMPRODUCT(Sheep!$H$5:$H$23*K$7^Sheep!$D$5:$D$23)/(Sheep!$H22*K$7^Sheep!$D22)</f>
        <v>212.9826158740226</v>
      </c>
      <c r="L26" s="18">
        <f>SUMPRODUCT(Sheep!$H$5:$H$23*L$7^Sheep!$D$5:$D$23)/(Sheep!$H22*L$7^Sheep!$D22)</f>
        <v>192.35065784948048</v>
      </c>
      <c r="M26" s="18">
        <f>SUMPRODUCT(Sheep!$H$5:$H$23*M$7^Sheep!$D$5:$D$23)/(Sheep!$H22*M$7^Sheep!$D22)</f>
        <v>162.43300487958345</v>
      </c>
      <c r="N26" s="18">
        <f>SUMPRODUCT(Sheep!$H$5:$H$23*N$7^Sheep!$D$5:$D$23)/(Sheep!$H22*N$7^Sheep!$D22)</f>
        <v>150.7608037062603</v>
      </c>
      <c r="O26" s="18">
        <f>SUMPRODUCT(Sheep!$H$5:$H$23*O$7^Sheep!$D$5:$D$23)/(Sheep!$H22*O$7^Sheep!$D22)</f>
        <v>139.53666678794249</v>
      </c>
      <c r="P26" s="18">
        <f>SUMPRODUCT(Sheep!$H$5:$H$23*P$7^Sheep!$D$5:$D$23)/(Sheep!$H22*P$7^Sheep!$D22)</f>
        <v>128.9775003471496</v>
      </c>
      <c r="Q26" s="18">
        <f>SUMPRODUCT(Sheep!$H$5:$H$23*Q$7^Sheep!$D$5:$D$23)/(Sheep!$H22*Q$7^Sheep!$D22)</f>
        <v>119.20459586930903</v>
      </c>
      <c r="R26" s="18">
        <f>SUMPRODUCT(Sheep!$H$5:$H$23*R$7^Sheep!$D$5:$D$23)/(Sheep!$H22*R$7^Sheep!$D22)</f>
        <v>104.25840800486044</v>
      </c>
      <c r="S26" s="18">
        <f>SUMPRODUCT(Sheep!$H$5:$H$23*S$7^Sheep!$D$5:$D$23)/(Sheep!$H22*S$7^Sheep!$D22)</f>
        <v>98.180083714045253</v>
      </c>
      <c r="T26" s="18">
        <f>SUMPRODUCT(Sheep!$H$5:$H$23*T$7^Sheep!$D$5:$D$23)/(Sheep!$H22*T$7^Sheep!$D22)</f>
        <v>92.202078001477602</v>
      </c>
      <c r="U26" s="18">
        <f>SUMPRODUCT(Sheep!$H$5:$H$23*U$7^Sheep!$D$5:$D$23)/(Sheep!$H22*U$7^Sheep!$D22)</f>
        <v>86.458380386420629</v>
      </c>
      <c r="V26" s="18">
        <f>SUMPRODUCT(Sheep!$H$5:$H$23*V$7^Sheep!$D$5:$D$23)/(Sheep!$H22*V$7^Sheep!$D22)</f>
        <v>81.033944841179817</v>
      </c>
      <c r="W26" s="18">
        <f>SUMPRODUCT(Sheep!$H$5:$H$23*W$7^Sheep!$D$5:$D$23)/(Sheep!$H22*W$7^Sheep!$D22)</f>
        <v>72.52798150158668</v>
      </c>
      <c r="X26" s="18">
        <f>SUMPRODUCT(Sheep!$H$5:$H$23*X$7^Sheep!$D$5:$D$23)/(Sheep!$H22*X$7^Sheep!$D22)</f>
        <v>68.991690672355674</v>
      </c>
      <c r="Y26" s="18">
        <f>SUMPRODUCT(Sheep!$H$5:$H$23*Y$7^Sheep!$D$5:$D$23)/(Sheep!$H22*Y$7^Sheep!$D22)</f>
        <v>65.46738922221634</v>
      </c>
      <c r="Z26" s="18">
        <f>SUMPRODUCT(Sheep!$H$5:$H$23*Z$7^Sheep!$D$5:$D$23)/(Sheep!$H22*Z$7^Sheep!$D22)</f>
        <v>62.035700283151314</v>
      </c>
      <c r="AA26" s="18">
        <f>SUMPRODUCT(Sheep!$H$5:$H$23*AA$7^Sheep!$D$5:$D$23)/(Sheep!$H22*AA$7^Sheep!$D22)</f>
        <v>58.751603575429044</v>
      </c>
      <c r="AB26" s="18">
        <f>SUMPRODUCT(Sheep!$H$5:$H$23*AB$7^Sheep!$D$5:$D$23)/(Sheep!$H22*AB$7^Sheep!$D22)</f>
        <v>53.51116950845104</v>
      </c>
    </row>
    <row r="27" spans="1:28" x14ac:dyDescent="0.25">
      <c r="A27" s="28" t="str">
        <f>Sheep!C23</f>
        <v>Mythic</v>
      </c>
      <c r="B27" s="28" t="str">
        <f>Sheep!A23</f>
        <v>Obsidian Sheep</v>
      </c>
      <c r="C27" s="18">
        <f>SUMPRODUCT(Sheep!$H$5:$H$23*C$7^Sheep!$D$5:$D$23)/(Sheep!$H23*C$7^Sheep!$D23)</f>
        <v>17588.166666666668</v>
      </c>
      <c r="D27" s="18">
        <f>SUMPRODUCT(Sheep!$H$5:$H$23*D$7^Sheep!$D$5:$D$23)/(Sheep!$H23*D$7^Sheep!$D23)</f>
        <v>1177.2899587984543</v>
      </c>
      <c r="E27" s="18">
        <f>SUMPRODUCT(Sheep!$H$5:$H$23*E$7^Sheep!$D$5:$D$23)/(Sheep!$H23*E$7^Sheep!$D23)</f>
        <v>791.69813869284258</v>
      </c>
      <c r="F27" s="18">
        <f>SUMPRODUCT(Sheep!$H$5:$H$23*F$7^Sheep!$D$5:$D$23)/(Sheep!$H23*F$7^Sheep!$D23)</f>
        <v>616.44276476671871</v>
      </c>
      <c r="G27" s="18">
        <f>SUMPRODUCT(Sheep!$H$5:$H$23*G$7^Sheep!$D$5:$D$23)/(Sheep!$H23*G$7^Sheep!$D23)</f>
        <v>508.77123155628072</v>
      </c>
      <c r="H27" s="18">
        <f>SUMPRODUCT(Sheep!$H$5:$H$23*H$7^Sheep!$D$5:$D$23)/(Sheep!$H23*H$7^Sheep!$D23)</f>
        <v>389.55243534341628</v>
      </c>
      <c r="I27" s="18">
        <f>SUMPRODUCT(Sheep!$H$5:$H$23*I$7^Sheep!$D$5:$D$23)/(Sheep!$H23*I$7^Sheep!$D23)</f>
        <v>350.30450929709718</v>
      </c>
      <c r="J27" s="18">
        <f>SUMPRODUCT(Sheep!$H$5:$H$23*J$7^Sheep!$D$5:$D$23)/(Sheep!$H23*J$7^Sheep!$D23)</f>
        <v>315.15376883884176</v>
      </c>
      <c r="K27" s="18">
        <f>SUMPRODUCT(Sheep!$H$5:$H$23*K$7^Sheep!$D$5:$D$23)/(Sheep!$H23*K$7^Sheep!$D23)</f>
        <v>283.97682116536345</v>
      </c>
      <c r="L27" s="18">
        <f>SUMPRODUCT(Sheep!$H$5:$H$23*L$7^Sheep!$D$5:$D$23)/(Sheep!$H23*L$7^Sheep!$D23)</f>
        <v>256.46754379930729</v>
      </c>
      <c r="M27" s="18">
        <f>SUMPRODUCT(Sheep!$H$5:$H$23*M$7^Sheep!$D$5:$D$23)/(Sheep!$H23*M$7^Sheep!$D23)</f>
        <v>216.57733983944459</v>
      </c>
      <c r="N27" s="18">
        <f>SUMPRODUCT(Sheep!$H$5:$H$23*N$7^Sheep!$D$5:$D$23)/(Sheep!$H23*N$7^Sheep!$D23)</f>
        <v>201.01440494168043</v>
      </c>
      <c r="O27" s="18">
        <f>SUMPRODUCT(Sheep!$H$5:$H$23*O$7^Sheep!$D$5:$D$23)/(Sheep!$H23*O$7^Sheep!$D23)</f>
        <v>186.04888905058999</v>
      </c>
      <c r="P27" s="18">
        <f>SUMPRODUCT(Sheep!$H$5:$H$23*P$7^Sheep!$D$5:$D$23)/(Sheep!$H23*P$7^Sheep!$D23)</f>
        <v>171.97000046286612</v>
      </c>
      <c r="Q27" s="18">
        <f>SUMPRODUCT(Sheep!$H$5:$H$23*Q$7^Sheep!$D$5:$D$23)/(Sheep!$H23*Q$7^Sheep!$D23)</f>
        <v>158.93946115907872</v>
      </c>
      <c r="R27" s="18">
        <f>SUMPRODUCT(Sheep!$H$5:$H$23*R$7^Sheep!$D$5:$D$23)/(Sheep!$H23*R$7^Sheep!$D23)</f>
        <v>139.01121067314725</v>
      </c>
      <c r="S27" s="18">
        <f>SUMPRODUCT(Sheep!$H$5:$H$23*S$7^Sheep!$D$5:$D$23)/(Sheep!$H23*S$7^Sheep!$D23)</f>
        <v>130.90677828539364</v>
      </c>
      <c r="T27" s="18">
        <f>SUMPRODUCT(Sheep!$H$5:$H$23*T$7^Sheep!$D$5:$D$23)/(Sheep!$H23*T$7^Sheep!$D23)</f>
        <v>122.93610400197014</v>
      </c>
      <c r="U27" s="18">
        <f>SUMPRODUCT(Sheep!$H$5:$H$23*U$7^Sheep!$D$5:$D$23)/(Sheep!$H23*U$7^Sheep!$D23)</f>
        <v>115.27784051522751</v>
      </c>
      <c r="V27" s="18">
        <f>SUMPRODUCT(Sheep!$H$5:$H$23*V$7^Sheep!$D$5:$D$23)/(Sheep!$H23*V$7^Sheep!$D23)</f>
        <v>108.04525978823975</v>
      </c>
      <c r="W27" s="18">
        <f>SUMPRODUCT(Sheep!$H$5:$H$23*W$7^Sheep!$D$5:$D$23)/(Sheep!$H23*W$7^Sheep!$D23)</f>
        <v>96.703975335448888</v>
      </c>
      <c r="X27" s="18">
        <f>SUMPRODUCT(Sheep!$H$5:$H$23*X$7^Sheep!$D$5:$D$23)/(Sheep!$H23*X$7^Sheep!$D23)</f>
        <v>91.988920896474241</v>
      </c>
      <c r="Y27" s="18">
        <f>SUMPRODUCT(Sheep!$H$5:$H$23*Y$7^Sheep!$D$5:$D$23)/(Sheep!$H23*Y$7^Sheep!$D23)</f>
        <v>87.289852296288458</v>
      </c>
      <c r="Z27" s="18">
        <f>SUMPRODUCT(Sheep!$H$5:$H$23*Z$7^Sheep!$D$5:$D$23)/(Sheep!$H23*Z$7^Sheep!$D23)</f>
        <v>82.714267044201748</v>
      </c>
      <c r="AA27" s="18">
        <f>SUMPRODUCT(Sheep!$H$5:$H$23*AA$7^Sheep!$D$5:$D$23)/(Sheep!$H23*AA$7^Sheep!$D23)</f>
        <v>78.335471433905383</v>
      </c>
      <c r="AB27" s="18">
        <f>SUMPRODUCT(Sheep!$H$5:$H$23*AB$7^Sheep!$D$5:$D$23)/(Sheep!$H23*AB$7^Sheep!$D23)</f>
        <v>71.348226011268054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Shears</vt:lpstr>
      <vt:lpstr>Sheep</vt:lpstr>
      <vt:lpstr>Rarities</vt:lpstr>
      <vt:lpstr>Wool per Minute</vt:lpstr>
      <vt:lpstr>Rebirths</vt:lpstr>
      <vt:lpstr>Rebirth Odds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2026-10-24T01:19:53Z</dcterms:created>
  <dcterms:modified xsi:type="dcterms:W3CDTF">2026-10-24T01:20:04Z</dcterms:modified>
  <cp:category/>
</cp:coreProperties>
</file>